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ams\GitHub\RcFish\data\raw\"/>
    </mc:Choice>
  </mc:AlternateContent>
  <xr:revisionPtr revIDLastSave="0" documentId="13_ncr:1_{CB97D083-2D15-41AC-BA3E-B9B83EEC9D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rveys" sheetId="9" r:id="rId1"/>
    <sheet name="Species_Codes" sheetId="7" r:id="rId2"/>
  </sheets>
  <definedNames>
    <definedName name="_xlnm._FilterDatabase" localSheetId="1" hidden="1">Species_Codes!$A$1:$B$63</definedName>
    <definedName name="_xlnm._FilterDatabase" localSheetId="0" hidden="1">Surveys!$A$1:$BX$79</definedName>
    <definedName name="qryFishCatchBySpeciesBySampleXTa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6" i="9" l="1"/>
  <c r="M57" i="9"/>
  <c r="M58" i="9"/>
  <c r="M71" i="9"/>
  <c r="M15" i="9"/>
  <c r="M16" i="9"/>
  <c r="M17" i="9"/>
  <c r="M59" i="9"/>
  <c r="M60" i="9"/>
  <c r="M61" i="9"/>
  <c r="M42" i="9"/>
  <c r="M27" i="9"/>
  <c r="M28" i="9"/>
  <c r="M33" i="9"/>
  <c r="M37" i="9"/>
  <c r="M39" i="9"/>
  <c r="M46" i="9"/>
  <c r="M44" i="9"/>
  <c r="M45" i="9"/>
  <c r="M34" i="9"/>
  <c r="M35" i="9"/>
  <c r="M36" i="9"/>
  <c r="M38" i="9"/>
  <c r="M24" i="9"/>
  <c r="M25" i="9"/>
  <c r="M26" i="9"/>
  <c r="M40" i="9"/>
  <c r="M41" i="9"/>
  <c r="M2" i="9"/>
  <c r="M53" i="9"/>
  <c r="M54" i="9"/>
  <c r="M55" i="9"/>
  <c r="M29" i="9"/>
  <c r="M30" i="9"/>
  <c r="M31" i="9"/>
  <c r="M78" i="9"/>
  <c r="M79" i="9"/>
  <c r="M3" i="9"/>
  <c r="M51" i="9"/>
  <c r="M52" i="9"/>
  <c r="M21" i="9"/>
  <c r="M32" i="9"/>
  <c r="M47" i="9"/>
  <c r="M48" i="9"/>
  <c r="M49" i="9"/>
  <c r="M19" i="9"/>
  <c r="M18" i="9"/>
  <c r="M20" i="9"/>
  <c r="M22" i="9"/>
  <c r="M67" i="9"/>
  <c r="M68" i="9"/>
  <c r="M69" i="9"/>
  <c r="M43" i="9"/>
  <c r="M4" i="9"/>
  <c r="M7" i="9"/>
  <c r="M10" i="9"/>
  <c r="M75" i="9"/>
  <c r="M76" i="9"/>
  <c r="M77" i="9"/>
  <c r="M70" i="9"/>
  <c r="M62" i="9"/>
  <c r="M65" i="9"/>
  <c r="M66" i="9"/>
  <c r="M72" i="9"/>
  <c r="M73" i="9"/>
  <c r="M12" i="9"/>
  <c r="M13" i="9"/>
  <c r="M14" i="9"/>
  <c r="M5" i="9"/>
  <c r="M8" i="9"/>
  <c r="M11" i="9"/>
  <c r="M6" i="9"/>
  <c r="M9" i="9"/>
  <c r="M74" i="9"/>
  <c r="M50" i="9"/>
  <c r="M23" i="9"/>
  <c r="M63" i="9"/>
  <c r="M64" i="9"/>
  <c r="L57" i="9"/>
  <c r="L58" i="9"/>
  <c r="L71" i="9"/>
  <c r="L15" i="9"/>
  <c r="L16" i="9"/>
  <c r="L17" i="9"/>
  <c r="L59" i="9"/>
  <c r="L60" i="9"/>
  <c r="L61" i="9"/>
  <c r="L42" i="9"/>
  <c r="L27" i="9"/>
  <c r="L28" i="9"/>
  <c r="L33" i="9"/>
  <c r="L37" i="9"/>
  <c r="L39" i="9"/>
  <c r="L46" i="9"/>
  <c r="L44" i="9"/>
  <c r="L45" i="9"/>
  <c r="L34" i="9"/>
  <c r="L35" i="9"/>
  <c r="L36" i="9"/>
  <c r="L38" i="9"/>
  <c r="L24" i="9"/>
  <c r="L25" i="9"/>
  <c r="L26" i="9"/>
  <c r="L40" i="9"/>
  <c r="L41" i="9"/>
  <c r="L2" i="9"/>
  <c r="L53" i="9"/>
  <c r="L54" i="9"/>
  <c r="L55" i="9"/>
  <c r="L29" i="9"/>
  <c r="L30" i="9"/>
  <c r="L31" i="9"/>
  <c r="L78" i="9"/>
  <c r="L79" i="9"/>
  <c r="L3" i="9"/>
  <c r="L51" i="9"/>
  <c r="L52" i="9"/>
  <c r="L21" i="9"/>
  <c r="L32" i="9"/>
  <c r="L47" i="9"/>
  <c r="L48" i="9"/>
  <c r="L49" i="9"/>
  <c r="L19" i="9"/>
  <c r="L18" i="9"/>
  <c r="L20" i="9"/>
  <c r="L22" i="9"/>
  <c r="L67" i="9"/>
  <c r="L68" i="9"/>
  <c r="L69" i="9"/>
  <c r="L43" i="9"/>
  <c r="L4" i="9"/>
  <c r="L7" i="9"/>
  <c r="L10" i="9"/>
  <c r="L75" i="9"/>
  <c r="L76" i="9"/>
  <c r="L77" i="9"/>
  <c r="L70" i="9"/>
  <c r="L62" i="9"/>
  <c r="L65" i="9"/>
  <c r="L66" i="9"/>
  <c r="L72" i="9"/>
  <c r="L73" i="9"/>
  <c r="L12" i="9"/>
  <c r="L13" i="9"/>
  <c r="L14" i="9"/>
  <c r="L5" i="9"/>
  <c r="L8" i="9"/>
  <c r="L11" i="9"/>
  <c r="L6" i="9"/>
  <c r="L9" i="9"/>
  <c r="L74" i="9"/>
  <c r="L50" i="9"/>
  <c r="L23" i="9"/>
  <c r="L63" i="9"/>
  <c r="L64" i="9"/>
  <c r="M56" i="9"/>
  <c r="L56" i="9"/>
  <c r="N58" i="9"/>
  <c r="N71" i="9"/>
  <c r="N15" i="9"/>
  <c r="N16" i="9"/>
  <c r="N17" i="9"/>
  <c r="N59" i="9"/>
  <c r="N60" i="9"/>
  <c r="N61" i="9"/>
  <c r="N42" i="9"/>
  <c r="N27" i="9"/>
  <c r="N28" i="9"/>
  <c r="N33" i="9"/>
  <c r="N37" i="9"/>
  <c r="N39" i="9"/>
  <c r="N46" i="9"/>
  <c r="N44" i="9"/>
  <c r="N45" i="9"/>
  <c r="N34" i="9"/>
  <c r="N35" i="9"/>
  <c r="N36" i="9"/>
  <c r="N38" i="9"/>
  <c r="N24" i="9"/>
  <c r="N25" i="9"/>
  <c r="N26" i="9"/>
  <c r="N40" i="9"/>
  <c r="N41" i="9"/>
  <c r="N2" i="9"/>
  <c r="N53" i="9"/>
  <c r="N54" i="9"/>
  <c r="N55" i="9"/>
  <c r="N29" i="9"/>
  <c r="N30" i="9"/>
  <c r="N31" i="9"/>
  <c r="N78" i="9"/>
  <c r="N79" i="9"/>
  <c r="N3" i="9"/>
  <c r="N51" i="9"/>
  <c r="N52" i="9"/>
  <c r="N21" i="9"/>
  <c r="N32" i="9"/>
  <c r="N47" i="9"/>
  <c r="N48" i="9"/>
  <c r="N49" i="9"/>
  <c r="N19" i="9"/>
  <c r="N18" i="9"/>
  <c r="N20" i="9"/>
  <c r="N22" i="9"/>
  <c r="N67" i="9"/>
  <c r="N68" i="9"/>
  <c r="N69" i="9"/>
  <c r="N43" i="9"/>
  <c r="N4" i="9"/>
  <c r="N7" i="9"/>
  <c r="N10" i="9"/>
  <c r="N75" i="9"/>
  <c r="N76" i="9"/>
  <c r="N77" i="9"/>
  <c r="N70" i="9"/>
  <c r="N62" i="9"/>
  <c r="N65" i="9"/>
  <c r="N66" i="9"/>
  <c r="N72" i="9"/>
  <c r="N73" i="9"/>
  <c r="N12" i="9"/>
  <c r="N13" i="9"/>
  <c r="N14" i="9"/>
  <c r="N5" i="9"/>
  <c r="N8" i="9"/>
  <c r="N11" i="9"/>
  <c r="N6" i="9"/>
  <c r="N9" i="9"/>
  <c r="N74" i="9"/>
  <c r="N50" i="9"/>
  <c r="N23" i="9"/>
  <c r="N63" i="9"/>
  <c r="N64" i="9"/>
  <c r="N57" i="9"/>
  <c r="J64" i="9"/>
  <c r="K64" i="9" s="1"/>
  <c r="J63" i="9"/>
  <c r="K63" i="9" s="1"/>
  <c r="J23" i="9"/>
  <c r="K23" i="9" s="1"/>
  <c r="J50" i="9"/>
  <c r="K50" i="9" s="1"/>
  <c r="J74" i="9"/>
  <c r="K74" i="9" s="1"/>
  <c r="J9" i="9"/>
  <c r="K9" i="9" s="1"/>
  <c r="J6" i="9"/>
  <c r="K6" i="9" s="1"/>
  <c r="J11" i="9"/>
  <c r="K11" i="9" s="1"/>
  <c r="J8" i="9"/>
  <c r="K8" i="9" s="1"/>
  <c r="J5" i="9"/>
  <c r="K5" i="9" s="1"/>
  <c r="J14" i="9"/>
  <c r="K14" i="9" s="1"/>
  <c r="J13" i="9"/>
  <c r="K13" i="9" s="1"/>
  <c r="J12" i="9"/>
  <c r="K12" i="9" s="1"/>
  <c r="J73" i="9"/>
  <c r="K73" i="9" s="1"/>
  <c r="J72" i="9"/>
  <c r="K72" i="9" s="1"/>
  <c r="J66" i="9"/>
  <c r="K66" i="9" s="1"/>
  <c r="J65" i="9"/>
  <c r="K65" i="9" s="1"/>
  <c r="J62" i="9"/>
  <c r="K62" i="9" s="1"/>
  <c r="J70" i="9"/>
  <c r="K70" i="9" s="1"/>
  <c r="J77" i="9"/>
  <c r="K77" i="9" s="1"/>
  <c r="J76" i="9"/>
  <c r="K76" i="9" s="1"/>
  <c r="J75" i="9"/>
  <c r="K75" i="9" s="1"/>
  <c r="J10" i="9"/>
  <c r="K10" i="9" s="1"/>
  <c r="J7" i="9"/>
  <c r="K7" i="9" s="1"/>
  <c r="J4" i="9"/>
  <c r="K4" i="9" s="1"/>
  <c r="J43" i="9"/>
  <c r="K43" i="9" s="1"/>
  <c r="J69" i="9"/>
  <c r="K69" i="9" s="1"/>
  <c r="J68" i="9"/>
  <c r="K68" i="9" s="1"/>
  <c r="J67" i="9"/>
  <c r="K67" i="9" s="1"/>
  <c r="J22" i="9"/>
  <c r="K22" i="9" s="1"/>
  <c r="J20" i="9"/>
  <c r="K20" i="9" s="1"/>
  <c r="J18" i="9"/>
  <c r="K18" i="9" s="1"/>
  <c r="J19" i="9"/>
  <c r="K19" i="9" s="1"/>
  <c r="J49" i="9"/>
  <c r="K49" i="9" s="1"/>
  <c r="J48" i="9"/>
  <c r="K48" i="9" s="1"/>
  <c r="J47" i="9"/>
  <c r="K47" i="9" s="1"/>
  <c r="J32" i="9"/>
  <c r="K32" i="9" s="1"/>
  <c r="J21" i="9"/>
  <c r="K21" i="9" s="1"/>
  <c r="J52" i="9"/>
  <c r="K52" i="9" s="1"/>
  <c r="J51" i="9"/>
  <c r="K51" i="9" s="1"/>
  <c r="J3" i="9"/>
  <c r="K3" i="9" s="1"/>
  <c r="J79" i="9"/>
  <c r="K79" i="9" s="1"/>
  <c r="J78" i="9"/>
  <c r="K78" i="9" s="1"/>
  <c r="J31" i="9"/>
  <c r="K31" i="9" s="1"/>
  <c r="J30" i="9"/>
  <c r="K30" i="9" s="1"/>
  <c r="J29" i="9"/>
  <c r="K29" i="9" s="1"/>
  <c r="J55" i="9"/>
  <c r="K55" i="9" s="1"/>
  <c r="J54" i="9"/>
  <c r="K54" i="9" s="1"/>
  <c r="J53" i="9"/>
  <c r="K53" i="9" s="1"/>
  <c r="J2" i="9"/>
  <c r="K2" i="9" s="1"/>
  <c r="J41" i="9"/>
  <c r="K41" i="9" s="1"/>
  <c r="J40" i="9"/>
  <c r="K40" i="9" s="1"/>
  <c r="J26" i="9"/>
  <c r="K26" i="9" s="1"/>
  <c r="J25" i="9"/>
  <c r="K25" i="9" s="1"/>
  <c r="J24" i="9"/>
  <c r="K24" i="9" s="1"/>
  <c r="J38" i="9"/>
  <c r="K38" i="9" s="1"/>
  <c r="J36" i="9"/>
  <c r="K36" i="9" s="1"/>
  <c r="J35" i="9"/>
  <c r="K35" i="9" s="1"/>
  <c r="J34" i="9"/>
  <c r="K34" i="9" s="1"/>
  <c r="J45" i="9"/>
  <c r="K45" i="9" s="1"/>
  <c r="J44" i="9"/>
  <c r="K44" i="9" s="1"/>
  <c r="J46" i="9"/>
  <c r="K46" i="9" s="1"/>
  <c r="J39" i="9"/>
  <c r="K39" i="9" s="1"/>
  <c r="J37" i="9"/>
  <c r="K37" i="9" s="1"/>
  <c r="J33" i="9"/>
  <c r="K33" i="9" s="1"/>
  <c r="J28" i="9"/>
  <c r="K28" i="9" s="1"/>
  <c r="J27" i="9"/>
  <c r="K27" i="9" s="1"/>
  <c r="J42" i="9"/>
  <c r="K42" i="9" s="1"/>
  <c r="J61" i="9"/>
  <c r="K61" i="9" s="1"/>
  <c r="J60" i="9"/>
  <c r="K60" i="9" s="1"/>
  <c r="J59" i="9"/>
  <c r="K59" i="9" s="1"/>
  <c r="J17" i="9"/>
  <c r="K17" i="9" s="1"/>
  <c r="J16" i="9"/>
  <c r="K16" i="9" s="1"/>
  <c r="J15" i="9"/>
  <c r="K15" i="9" s="1"/>
  <c r="J71" i="9"/>
  <c r="K71" i="9" s="1"/>
  <c r="J58" i="9"/>
  <c r="K58" i="9" s="1"/>
  <c r="J57" i="9"/>
  <c r="K57" i="9" s="1"/>
  <c r="J56" i="9"/>
  <c r="K56" i="9" s="1"/>
</calcChain>
</file>

<file path=xl/sharedStrings.xml><?xml version="1.0" encoding="utf-8"?>
<sst xmlns="http://schemas.openxmlformats.org/spreadsheetml/2006/main" count="562" uniqueCount="306">
  <si>
    <t>AcaPac</t>
  </si>
  <si>
    <t>AmbMio</t>
  </si>
  <si>
    <t>AmbSp1</t>
  </si>
  <si>
    <t>AmbVac</t>
  </si>
  <si>
    <t>AmnPer</t>
  </si>
  <si>
    <t>AmpSpp</t>
  </si>
  <si>
    <t>AngMar</t>
  </si>
  <si>
    <t>AngObs</t>
  </si>
  <si>
    <t>AngRei</t>
  </si>
  <si>
    <t>AwaAcr</t>
  </si>
  <si>
    <t>BunGyr</t>
  </si>
  <si>
    <t>ButBut</t>
  </si>
  <si>
    <t>CraSte</t>
  </si>
  <si>
    <t>EleFus</t>
  </si>
  <si>
    <t>EleMel</t>
  </si>
  <si>
    <t>GamHol</t>
  </si>
  <si>
    <t>GerFil</t>
  </si>
  <si>
    <t>GiuApo</t>
  </si>
  <si>
    <t>GloApr</t>
  </si>
  <si>
    <t>GloBic</t>
  </si>
  <si>
    <t>GloIll</t>
  </si>
  <si>
    <t>GloLat</t>
  </si>
  <si>
    <t>HypCom</t>
  </si>
  <si>
    <t>HypSp1</t>
  </si>
  <si>
    <t>KuhRup</t>
  </si>
  <si>
    <t>LatCal</t>
  </si>
  <si>
    <t>LeiEqu</t>
  </si>
  <si>
    <t>LeiUni</t>
  </si>
  <si>
    <t>LutArg</t>
  </si>
  <si>
    <t>MegCyp</t>
  </si>
  <si>
    <t>MelSpl</t>
  </si>
  <si>
    <t>MelSpp</t>
  </si>
  <si>
    <t>MesArg</t>
  </si>
  <si>
    <t>MogAds</t>
  </si>
  <si>
    <t>MonArg</t>
  </si>
  <si>
    <t>MooSeh</t>
  </si>
  <si>
    <t>MugCep</t>
  </si>
  <si>
    <t>NemEre</t>
  </si>
  <si>
    <t>NeoAte</t>
  </si>
  <si>
    <t>NeoHyr</t>
  </si>
  <si>
    <t>NotRob</t>
  </si>
  <si>
    <t>OphSp1</t>
  </si>
  <si>
    <t>OreMos</t>
  </si>
  <si>
    <t>OxyLin</t>
  </si>
  <si>
    <t>OxySel</t>
  </si>
  <si>
    <t>PlaSub</t>
  </si>
  <si>
    <t>PoeRet</t>
  </si>
  <si>
    <t>PorRen</t>
  </si>
  <si>
    <t>PseSig</t>
  </si>
  <si>
    <t>RedBik</t>
  </si>
  <si>
    <t>RedChr</t>
  </si>
  <si>
    <t>ScaArg</t>
  </si>
  <si>
    <t>SchHoe</t>
  </si>
  <si>
    <t>SelMul</t>
  </si>
  <si>
    <t>StrKre</t>
  </si>
  <si>
    <t>TanTro</t>
  </si>
  <si>
    <t>ToxCha</t>
  </si>
  <si>
    <t>ToxJac</t>
  </si>
  <si>
    <t>TriTri</t>
  </si>
  <si>
    <t>XipMac</t>
  </si>
  <si>
    <t>117-0001</t>
  </si>
  <si>
    <t>Pine Creek</t>
  </si>
  <si>
    <t>Forestry Road, Paluma Range National Park, Lynam</t>
  </si>
  <si>
    <t>117-0006</t>
  </si>
  <si>
    <t>Black River</t>
  </si>
  <si>
    <t>Bruce Highway, Black River</t>
  </si>
  <si>
    <t>117-0009</t>
  </si>
  <si>
    <t>Rollingstone Creek</t>
  </si>
  <si>
    <t>Bruce Highway, Rollingstone</t>
  </si>
  <si>
    <t>117-0019</t>
  </si>
  <si>
    <t>Canal Creek</t>
  </si>
  <si>
    <t>Black River Road, Black River</t>
  </si>
  <si>
    <t>117-0021</t>
  </si>
  <si>
    <t>Crystal Creek</t>
  </si>
  <si>
    <t>Spiegelhauer Road, Mutarnee</t>
  </si>
  <si>
    <t>117-0029</t>
  </si>
  <si>
    <t>Setter Road, Bluewater</t>
  </si>
  <si>
    <t>Leichardt Creek</t>
  </si>
  <si>
    <t>117-0037</t>
  </si>
  <si>
    <t>Daly Road, Mutarnee</t>
  </si>
  <si>
    <t>117-0041</t>
  </si>
  <si>
    <t>Bullocky Toms Creek</t>
  </si>
  <si>
    <t>Volk Road, Mutarnee</t>
  </si>
  <si>
    <t>117-0066</t>
  </si>
  <si>
    <t>Deep Creek</t>
  </si>
  <si>
    <t>Bruce Highway, Bluewater</t>
  </si>
  <si>
    <t>117-0069</t>
  </si>
  <si>
    <t>Nolans Gully</t>
  </si>
  <si>
    <t>Intake Road, Paluma Range National Park, Crystal Creek</t>
  </si>
  <si>
    <t>117-0085</t>
  </si>
  <si>
    <t>Clerk Creek</t>
  </si>
  <si>
    <t>Bruce Highway, Mutarnee</t>
  </si>
  <si>
    <t>117-0094</t>
  </si>
  <si>
    <t>Tributary of Palm Tree Creek</t>
  </si>
  <si>
    <t>Page Road, Hervey Range</t>
  </si>
  <si>
    <t>Granitevale Road, Alice River</t>
  </si>
  <si>
    <t>117-0131</t>
  </si>
  <si>
    <t>Log Creek</t>
  </si>
  <si>
    <t>118-0008</t>
  </si>
  <si>
    <t>Bohle River</t>
  </si>
  <si>
    <t>Off S Beck Drive, Rasmussen</t>
  </si>
  <si>
    <t>118-0023</t>
  </si>
  <si>
    <t>Little Bohle River</t>
  </si>
  <si>
    <t>118-0031</t>
  </si>
  <si>
    <t>Off Laudberg Road, Kelso</t>
  </si>
  <si>
    <t>118-0036</t>
  </si>
  <si>
    <t>Dalrymple Road, Mount Louisa</t>
  </si>
  <si>
    <t>118-0039</t>
  </si>
  <si>
    <t>Sachs Creek</t>
  </si>
  <si>
    <t>Kavenagh Court, Oak Valley</t>
  </si>
  <si>
    <t>118-0056</t>
  </si>
  <si>
    <t>Alligator Creek</t>
  </si>
  <si>
    <t>Alligator Creek Road, Alligator Creek</t>
  </si>
  <si>
    <t>118-0063</t>
  </si>
  <si>
    <t>Stuart Creek</t>
  </si>
  <si>
    <t>Bougainville Street, Roseneath</t>
  </si>
  <si>
    <t>118-0107</t>
  </si>
  <si>
    <t>Ross River</t>
  </si>
  <si>
    <t>Riverway Drive, Kelso</t>
  </si>
  <si>
    <t>118-0114</t>
  </si>
  <si>
    <t>Stony Creek</t>
  </si>
  <si>
    <t>Geaney Lane, Deeragun</t>
  </si>
  <si>
    <t>118-0139</t>
  </si>
  <si>
    <t>Antill Plains Creek</t>
  </si>
  <si>
    <t>Flinders Highway, Ross River</t>
  </si>
  <si>
    <t>118-0168</t>
  </si>
  <si>
    <t>Alligator Creek Road, Bowling Green Bay National Park, Mount Elliot</t>
  </si>
  <si>
    <t>118-0232</t>
  </si>
  <si>
    <t>Strachan Road, Alligator Creek</t>
  </si>
  <si>
    <t>118-9998</t>
  </si>
  <si>
    <t>Gollogly Drive, Rasmussen</t>
  </si>
  <si>
    <t>118-9999</t>
  </si>
  <si>
    <t>Riverview Park, Annandale</t>
  </si>
  <si>
    <t>POISE</t>
  </si>
  <si>
    <t>Species</t>
  </si>
  <si>
    <t>Date</t>
  </si>
  <si>
    <t>Watercourse</t>
  </si>
  <si>
    <t>LatWGS84</t>
  </si>
  <si>
    <t>LongWGS84</t>
  </si>
  <si>
    <t>Type</t>
  </si>
  <si>
    <t>Indigenous</t>
  </si>
  <si>
    <t>Translocated</t>
  </si>
  <si>
    <t>Alien</t>
  </si>
  <si>
    <t>Site</t>
  </si>
  <si>
    <t>HepSpp</t>
  </si>
  <si>
    <t>Flagtail perchlet</t>
  </si>
  <si>
    <t>Vachell's glassfish</t>
  </si>
  <si>
    <t>Barred grunter</t>
  </si>
  <si>
    <t>Giant mottled eel</t>
  </si>
  <si>
    <t>Pacific short-finned eel</t>
  </si>
  <si>
    <t>Long-finned eel</t>
  </si>
  <si>
    <t>Roman-nose goby</t>
  </si>
  <si>
    <t>Bunaka</t>
  </si>
  <si>
    <t>Crimson-tipped gudgeon</t>
  </si>
  <si>
    <t>Fly-specked hardyhead</t>
  </si>
  <si>
    <t>Brown spine-cheek gudgeon</t>
  </si>
  <si>
    <t>Black spine-cheek gudgeon</t>
  </si>
  <si>
    <t>Gambusia</t>
  </si>
  <si>
    <t>Silver biddy</t>
  </si>
  <si>
    <t>Snake-head gudgeon</t>
  </si>
  <si>
    <t>Mouth almighty</t>
  </si>
  <si>
    <t>False Celebes goby</t>
  </si>
  <si>
    <t>Sooty grunter</t>
  </si>
  <si>
    <t>Empire gudgeon</t>
  </si>
  <si>
    <t>Northern carp gudgeon (undescribed)</t>
  </si>
  <si>
    <t>Jungle perch</t>
  </si>
  <si>
    <t>Barramundi</t>
  </si>
  <si>
    <t>Spangled perch</t>
  </si>
  <si>
    <t>Mangrove jack</t>
  </si>
  <si>
    <t>Indo-Pacific tarpon</t>
  </si>
  <si>
    <t>Eastern rainbowfish</t>
  </si>
  <si>
    <t>Silver grunter</t>
  </si>
  <si>
    <t>Southern purple-spotted gudgeon</t>
  </si>
  <si>
    <t>Sea mullet</t>
  </si>
  <si>
    <t>Bony bream</t>
  </si>
  <si>
    <t>Butter jew</t>
  </si>
  <si>
    <t>Hyrtl's tandan</t>
  </si>
  <si>
    <t>Bullrout</t>
  </si>
  <si>
    <t>Swamp eel</t>
  </si>
  <si>
    <t>Mozambique tilapia</t>
  </si>
  <si>
    <t>Sleepy cod</t>
  </si>
  <si>
    <t>Northern sleepy cod</t>
  </si>
  <si>
    <t>Greenback mullet</t>
  </si>
  <si>
    <t>Guppy</t>
  </si>
  <si>
    <t>Rendahl's tandan</t>
  </si>
  <si>
    <t>Pacific blue-eye</t>
  </si>
  <si>
    <t>Speckled goby</t>
  </si>
  <si>
    <t>Spot-finned goby</t>
  </si>
  <si>
    <t>Spotted scat</t>
  </si>
  <si>
    <t>Scaleless goby</t>
  </si>
  <si>
    <t>Striped scat</t>
  </si>
  <si>
    <t>Freshwater longtom</t>
  </si>
  <si>
    <t>Wet Tropics tandan</t>
  </si>
  <si>
    <t>Seven-spot archerfish</t>
  </si>
  <si>
    <t>Blue gourami</t>
  </si>
  <si>
    <t>Platy</t>
  </si>
  <si>
    <t>GenusSpecies</t>
  </si>
  <si>
    <t>VernacularName</t>
  </si>
  <si>
    <t>Acanthopagrus pacificus</t>
  </si>
  <si>
    <t>Pikey bream</t>
  </si>
  <si>
    <t>Ambassis miops</t>
  </si>
  <si>
    <t>Ambassis sp. 1</t>
  </si>
  <si>
    <t>Northern perchlet (undescribed)</t>
  </si>
  <si>
    <t>Ambassis vachellii</t>
  </si>
  <si>
    <t>Amniataba percoides</t>
  </si>
  <si>
    <t>Amphilophus sp.</t>
  </si>
  <si>
    <t>Midas cichlid</t>
  </si>
  <si>
    <t>Anguilla marmorata</t>
  </si>
  <si>
    <t>Anguilla obscura</t>
  </si>
  <si>
    <t>Anguilla reinhardtii</t>
  </si>
  <si>
    <t>Awaous acritosus</t>
  </si>
  <si>
    <t>Bunaka gyrinoides</t>
  </si>
  <si>
    <t>Butis butis</t>
  </si>
  <si>
    <t>Craterocephalus stercusmuscarum</t>
  </si>
  <si>
    <t>Eleotris fusca</t>
  </si>
  <si>
    <t>Eleotris melanosoma</t>
  </si>
  <si>
    <t>Gambusia holbrooki</t>
  </si>
  <si>
    <t>Gerres filamentosus</t>
  </si>
  <si>
    <t>Giuris aporocephalus</t>
  </si>
  <si>
    <t>Glossamia aprion</t>
  </si>
  <si>
    <t>Glossogobius bicirrhosus</t>
  </si>
  <si>
    <t>Bearded flathead goby</t>
  </si>
  <si>
    <t>Glossogobius illimus</t>
  </si>
  <si>
    <t>Glossogobius laticeps</t>
  </si>
  <si>
    <t>Coastal tank goby</t>
  </si>
  <si>
    <t>Hephaestus sp.</t>
  </si>
  <si>
    <t>Hypseleotris compressa</t>
  </si>
  <si>
    <t>Hypseleotris sp.</t>
  </si>
  <si>
    <t>Kuhlia rupestris</t>
  </si>
  <si>
    <t>Lates calcarifer</t>
  </si>
  <si>
    <t>Leiognathus equulus</t>
  </si>
  <si>
    <t>Common ponyfish</t>
  </si>
  <si>
    <t>Leiopotherapon unicolor</t>
  </si>
  <si>
    <t>Lutjanus argentimaculatus</t>
  </si>
  <si>
    <t>Megalops cyprinoides</t>
  </si>
  <si>
    <t>Melanotaenia splendida</t>
  </si>
  <si>
    <t>Melanotaenia spp.</t>
  </si>
  <si>
    <t>Rainbowfish (all species)</t>
  </si>
  <si>
    <t>Mesopristes argenteus</t>
  </si>
  <si>
    <t>Mogurnda adspersa</t>
  </si>
  <si>
    <t>Monodactylus argenteus</t>
  </si>
  <si>
    <t>Butter bream</t>
  </si>
  <si>
    <t>Moolgarda seheli</t>
  </si>
  <si>
    <t>Bluespot mullet</t>
  </si>
  <si>
    <t>Mugil cephalus</t>
  </si>
  <si>
    <t>Nematalosa erebi</t>
  </si>
  <si>
    <t>Neosilurus ater</t>
  </si>
  <si>
    <t>Neosilurus hyrtlii</t>
  </si>
  <si>
    <t>Notesthes robusta</t>
  </si>
  <si>
    <t>Ophisternon sp.</t>
  </si>
  <si>
    <t>Oreochromis mossambicus</t>
  </si>
  <si>
    <t>Oxyeleotris lineolata</t>
  </si>
  <si>
    <t>Oxyeleotris selheimi</t>
  </si>
  <si>
    <t>Planiliza subviridis</t>
  </si>
  <si>
    <t>Poecilia reticulata</t>
  </si>
  <si>
    <t>Porochilus rendahli</t>
  </si>
  <si>
    <t>Pseudomugil signifer</t>
  </si>
  <si>
    <t>Redigobius bikolanus</t>
  </si>
  <si>
    <t>Redigobius chrysosoma</t>
  </si>
  <si>
    <t>Scatophagus argus</t>
  </si>
  <si>
    <t>Schismatogobius hoesei</t>
  </si>
  <si>
    <t>Selenotoca multifasciata</t>
  </si>
  <si>
    <t>Strongylura krefftii</t>
  </si>
  <si>
    <t>Tandanus tropicanus</t>
  </si>
  <si>
    <t>Toxotes chatareus</t>
  </si>
  <si>
    <t>Toxotes jaculatrix</t>
  </si>
  <si>
    <t>Banded archerfish</t>
  </si>
  <si>
    <t>Trichopodus trichopterus</t>
  </si>
  <si>
    <t>Xiphophorus maculatus</t>
  </si>
  <si>
    <t>PredictedNumberOfIndigenousSpecies</t>
  </si>
  <si>
    <t>NumberOfIndigenousSpecies</t>
  </si>
  <si>
    <t>PropTrans</t>
  </si>
  <si>
    <t>PropAlien</t>
  </si>
  <si>
    <t>PropNonIndigenous</t>
  </si>
  <si>
    <t>DBSiteCode</t>
  </si>
  <si>
    <t>HypBuc</t>
  </si>
  <si>
    <t>117-0003</t>
  </si>
  <si>
    <t>Scrubby Creek</t>
  </si>
  <si>
    <t>Hervey Range Road, Hervey Range</t>
  </si>
  <si>
    <t>117-0018</t>
  </si>
  <si>
    <t>Healy Creek</t>
  </si>
  <si>
    <t>Saunders Beach Road, Yabulu</t>
  </si>
  <si>
    <t>Leichhardt Creek</t>
  </si>
  <si>
    <t>NA</t>
  </si>
  <si>
    <t>117-0067</t>
  </si>
  <si>
    <t>Alice River</t>
  </si>
  <si>
    <t>Hervey Range Road, Rangewood</t>
  </si>
  <si>
    <t>117-0110</t>
  </si>
  <si>
    <t>Adrenaline Paintball, Black River</t>
  </si>
  <si>
    <t>118-0012</t>
  </si>
  <si>
    <t>Cockatoo Creek</t>
  </si>
  <si>
    <t>Cockatoo Creek swimming area, Mount Elliot</t>
  </si>
  <si>
    <t>118-0040</t>
  </si>
  <si>
    <t>Killymoon Creek</t>
  </si>
  <si>
    <t>Bruce Highway, Alligator Creek</t>
  </si>
  <si>
    <t>118-0064</t>
  </si>
  <si>
    <t>Saunders Creek</t>
  </si>
  <si>
    <t>Off Summerland Drive, Deeragun</t>
  </si>
  <si>
    <t>118-0279</t>
  </si>
  <si>
    <t>Flinders Highway, Roseneath</t>
  </si>
  <si>
    <t>118-0284</t>
  </si>
  <si>
    <t>Bruce Highway, Bohle Plains</t>
  </si>
  <si>
    <t>118-0356</t>
  </si>
  <si>
    <t>Bruce Highway, Gumlow</t>
  </si>
  <si>
    <t>SegmentId</t>
  </si>
  <si>
    <t>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</si>
</sst>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"/>
    <numFmt numFmtId="166" formatCode="0.0"/>
    <numFmt numFmtId="167" formatCode="0.0000"/>
    <numFmt numFmtId="168" formatCode="dd\-mmm\-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164" fontId="1" fillId="0" borderId="0" xfId="0" applyNumberFormat="1" applyFont="1"/>
    <xf numFmtId="166" fontId="1" fillId="0" borderId="0" xfId="0" applyNumberFormat="1" applyFont="1"/>
    <xf numFmtId="0" fontId="1" fillId="2" borderId="0" xfId="0" applyFont="1" applyFill="1"/>
    <xf numFmtId="0" fontId="2" fillId="0" borderId="0" xfId="0" applyFont="1" applyAlignment="1">
      <alignment vertical="center"/>
    </xf>
    <xf numFmtId="0" fontId="0" fillId="2" borderId="0" xfId="0" applyFill="1"/>
    <xf numFmtId="15" fontId="0" fillId="0" borderId="0" xfId="0" applyNumberFormat="1"/>
    <xf numFmtId="0" fontId="0" fillId="3" borderId="0" xfId="0" applyFill="1"/>
    <xf numFmtId="1" fontId="0" fillId="3" borderId="0" xfId="0" applyNumberFormat="1" applyFill="1"/>
    <xf numFmtId="168" fontId="0" fillId="3" borderId="0" xfId="0" applyNumberFormat="1" applyFill="1"/>
    <xf numFmtId="167" fontId="0" fillId="3" borderId="0" xfId="0" applyNumberFormat="1" applyFill="1"/>
    <xf numFmtId="2" fontId="0" fillId="3" borderId="1" xfId="0" applyNumberFormat="1" applyFill="1" applyBorder="1"/>
    <xf numFmtId="0" fontId="0" fillId="3" borderId="0" xfId="0" quotePrefix="1" applyFill="1" applyAlignment="1">
      <alignment horizontal="right"/>
    </xf>
    <xf numFmtId="0" fontId="0" fillId="3" borderId="0" xfId="0" applyFill="1" applyAlignment="1">
      <alignment horizontal="right"/>
    </xf>
    <xf numFmtId="167" fontId="0" fillId="3" borderId="0" xfId="0" applyNumberFormat="1" applyFill="1" applyAlignment="1">
      <alignment horizontal="right"/>
    </xf>
    <xf numFmtId="2" fontId="0" fillId="3" borderId="1" xfId="0" applyNumberFormat="1" applyFill="1" applyBorder="1" applyAlignment="1">
      <alignment horizontal="right"/>
    </xf>
    <xf numFmtId="1" fontId="0" fillId="3" borderId="0" xfId="0" applyNumberFormat="1" applyFill="1" applyAlignment="1">
      <alignment horizontal="right"/>
    </xf>
    <xf numFmtId="1" fontId="0" fillId="0" borderId="0" xfId="0" applyNumberFormat="1"/>
    <xf numFmtId="168" fontId="0" fillId="0" borderId="0" xfId="0" applyNumberFormat="1"/>
    <xf numFmtId="167" fontId="0" fillId="0" borderId="0" xfId="0" applyNumberFormat="1" applyAlignment="1">
      <alignment horizontal="right"/>
    </xf>
    <xf numFmtId="2" fontId="0" fillId="0" borderId="1" xfId="0" applyNumberForma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  <xf numFmtId="167" fontId="0" fillId="0" borderId="0" xfId="0" applyNumberFormat="1"/>
    <xf numFmtId="2" fontId="0" fillId="0" borderId="1" xfId="0" applyNumberFormat="1" applyBorder="1"/>
    <xf numFmtId="167" fontId="3" fillId="3" borderId="0" xfId="0" applyNumberFormat="1" applyFont="1" applyFill="1" applyAlignment="1">
      <alignment horizontal="right"/>
    </xf>
    <xf numFmtId="0" fontId="0" fillId="4" borderId="0" xfId="0" applyFill="1"/>
    <xf numFmtId="165" fontId="0" fillId="3" borderId="2" xfId="0" applyNumberFormat="1" applyFill="1" applyBorder="1"/>
    <xf numFmtId="165" fontId="0" fillId="0" borderId="2" xfId="0" applyNumberFormat="1" applyBorder="1"/>
    <xf numFmtId="165" fontId="0" fillId="3" borderId="0" xfId="0" applyNumberFormat="1" applyFill="1"/>
    <xf numFmtId="165" fontId="0" fillId="0" borderId="0" xfId="0" applyNumberFormat="1"/>
    <xf numFmtId="165" fontId="0" fillId="3" borderId="0" xfId="0" applyNumberFormat="1" applyFill="1" applyAlignment="1">
      <alignment horizontal="right"/>
    </xf>
    <xf numFmtId="165" fontId="0" fillId="0" borderId="0" xfId="0" applyNumberFormat="1" applyAlignment="1">
      <alignment horizontal="right"/>
    </xf>
    <xf numFmtId="165" fontId="0" fillId="3" borderId="4" xfId="0" applyNumberFormat="1" applyFill="1" applyBorder="1"/>
    <xf numFmtId="165" fontId="0" fillId="3" borderId="5" xfId="0" applyNumberFormat="1" applyFill="1" applyBorder="1"/>
    <xf numFmtId="0" fontId="0" fillId="5" borderId="0" xfId="0" applyFill="1"/>
    <xf numFmtId="0" fontId="1" fillId="5" borderId="0" xfId="0" applyFont="1" applyFill="1"/>
    <xf numFmtId="164" fontId="1" fillId="0" borderId="2" xfId="0" applyNumberFormat="1" applyFont="1" applyBorder="1"/>
    <xf numFmtId="0" fontId="1" fillId="0" borderId="2" xfId="0" applyFont="1" applyBorder="1"/>
    <xf numFmtId="2" fontId="3" fillId="3" borderId="3" xfId="0" applyNumberFormat="1" applyFont="1" applyFill="1" applyBorder="1" applyAlignment="1">
      <alignment horizontal="right"/>
    </xf>
    <xf numFmtId="1" fontId="3" fillId="3" borderId="4" xfId="0" applyNumberFormat="1" applyFont="1" applyFill="1" applyBorder="1" applyAlignment="1">
      <alignment horizontal="right"/>
    </xf>
    <xf numFmtId="165" fontId="3" fillId="3" borderId="4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CC00"/>
      <color rgb="FF00CC66"/>
      <color rgb="FF33CC33"/>
      <color rgb="FFFFFF66"/>
      <color rgb="FFFFFF99"/>
      <color rgb="FF339933"/>
      <color rgb="FF008000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9359D-869E-4BD1-B6B9-765BC4F144C2}">
  <dimension ref="A1:CG82"/>
  <sheetViews>
    <sheetView tabSelected="1" zoomScale="85" zoomScaleNormal="85" workbookViewId="0">
      <selection sqref="A1:B1048576"/>
    </sheetView>
  </sheetViews>
  <sheetFormatPr defaultRowHeight="15" x14ac:dyDescent="0.25"/>
  <cols>
    <col min="1" max="1" width="13.5703125" bestFit="1" customWidth="1"/>
    <col min="2" max="2" width="4.42578125" bestFit="1" customWidth="1"/>
    <col min="3" max="3" width="11.85546875" bestFit="1" customWidth="1"/>
    <col min="4" max="4" width="26.7109375" bestFit="1" customWidth="1"/>
    <col min="5" max="5" width="62.42578125" bestFit="1" customWidth="1"/>
    <col min="6" max="6" width="10.7109375" bestFit="1" customWidth="1"/>
    <col min="7" max="7" width="15.7109375" bestFit="1" customWidth="1"/>
    <col min="8" max="8" width="17.42578125" bestFit="1" customWidth="1"/>
    <col min="9" max="9" width="36.42578125" bestFit="1" customWidth="1"/>
    <col min="10" max="10" width="27.5703125" bestFit="1" customWidth="1"/>
    <col min="11" max="11" width="15.5703125" bestFit="1" customWidth="1"/>
    <col min="12" max="12" width="11.28515625" bestFit="1" customWidth="1"/>
    <col min="13" max="13" width="12.85546875" bestFit="1" customWidth="1"/>
    <col min="14" max="14" width="19" bestFit="1" customWidth="1"/>
    <col min="15" max="15" width="8.28515625" bestFit="1" customWidth="1"/>
    <col min="16" max="16" width="8.140625" bestFit="1" customWidth="1"/>
    <col min="17" max="17" width="7.85546875" bestFit="1" customWidth="1"/>
    <col min="18" max="18" width="8" bestFit="1" customWidth="1"/>
    <col min="19" max="19" width="7.85546875" bestFit="1" customWidth="1"/>
    <col min="20" max="20" width="7.7109375" bestFit="1" customWidth="1"/>
    <col min="21" max="21" width="7.5703125" bestFit="1" customWidth="1"/>
    <col min="22" max="22" width="7.85546875" bestFit="1" customWidth="1"/>
    <col min="23" max="23" width="8.28515625" bestFit="1" customWidth="1"/>
    <col min="24" max="24" width="7.140625" bestFit="1" customWidth="1"/>
    <col min="25" max="25" width="8.7109375" bestFit="1" customWidth="1"/>
    <col min="26" max="26" width="8.28515625" bestFit="1" customWidth="1"/>
    <col min="27" max="27" width="7.7109375" bestFit="1" customWidth="1"/>
    <col min="28" max="28" width="7.5703125" bestFit="1" customWidth="1"/>
    <col min="29" max="29" width="7" bestFit="1" customWidth="1"/>
    <col min="30" max="30" width="7" customWidth="1"/>
    <col min="31" max="31" width="7.5703125" bestFit="1" customWidth="1"/>
    <col min="32" max="32" width="8.42578125" bestFit="1" customWidth="1"/>
    <col min="33" max="33" width="7.85546875" bestFit="1" customWidth="1"/>
    <col min="34" max="34" width="7.7109375" bestFit="1" customWidth="1"/>
    <col min="35" max="35" width="7.28515625" bestFit="1" customWidth="1"/>
    <col min="36" max="36" width="6.7109375" bestFit="1" customWidth="1"/>
    <col min="37" max="37" width="6.7109375" customWidth="1"/>
    <col min="38" max="38" width="8.140625" bestFit="1" customWidth="1"/>
    <col min="39" max="39" width="7.140625" bestFit="1" customWidth="1"/>
    <col min="40" max="40" width="8.140625" bestFit="1" customWidth="1"/>
    <col min="41" max="41" width="8.42578125" bestFit="1" customWidth="1"/>
    <col min="42" max="42" width="8.140625" bestFit="1" customWidth="1"/>
    <col min="43" max="43" width="7.85546875" bestFit="1" customWidth="1"/>
    <col min="44" max="44" width="7.7109375" bestFit="1" customWidth="1"/>
    <col min="45" max="45" width="7.85546875" bestFit="1" customWidth="1"/>
    <col min="46" max="46" width="7" bestFit="1" customWidth="1"/>
    <col min="47" max="47" width="7.28515625" bestFit="1" customWidth="1"/>
    <col min="48" max="48" width="7.85546875" bestFit="1" customWidth="1"/>
    <col min="49" max="49" width="8.140625" bestFit="1" customWidth="1"/>
    <col min="50" max="52" width="8.42578125" bestFit="1" customWidth="1"/>
    <col min="53" max="54" width="8" bestFit="1" customWidth="1"/>
    <col min="55" max="55" width="7.7109375" bestFit="1" customWidth="1"/>
    <col min="56" max="56" width="7.85546875" bestFit="1" customWidth="1"/>
    <col min="57" max="58" width="7.42578125" bestFit="1" customWidth="1"/>
    <col min="59" max="59" width="6.7109375" bestFit="1" customWidth="1"/>
    <col min="60" max="60" width="7.140625" bestFit="1" customWidth="1"/>
    <col min="61" max="61" width="7.42578125" bestFit="1" customWidth="1"/>
    <col min="62" max="62" width="6.85546875" bestFit="1" customWidth="1"/>
    <col min="63" max="63" width="7.5703125" bestFit="1" customWidth="1"/>
    <col min="64" max="64" width="7.28515625" bestFit="1" customWidth="1"/>
    <col min="65" max="65" width="6.42578125" bestFit="1" customWidth="1"/>
    <col min="66" max="66" width="7" bestFit="1" customWidth="1"/>
    <col min="67" max="67" width="7.42578125" bestFit="1" customWidth="1"/>
    <col min="68" max="68" width="6.7109375" bestFit="1" customWidth="1"/>
    <col min="69" max="69" width="7" bestFit="1" customWidth="1"/>
    <col min="70" max="70" width="7.140625" bestFit="1" customWidth="1"/>
    <col min="71" max="71" width="8.42578125" bestFit="1" customWidth="1"/>
    <col min="72" max="73" width="8.140625" bestFit="1" customWidth="1"/>
    <col min="74" max="74" width="7.42578125" bestFit="1" customWidth="1"/>
    <col min="75" max="75" width="5.5703125" bestFit="1" customWidth="1"/>
    <col min="76" max="76" width="7.5703125" bestFit="1" customWidth="1"/>
    <col min="77" max="77" width="5.5703125" bestFit="1" customWidth="1"/>
    <col min="78" max="80" width="7.5703125" bestFit="1" customWidth="1"/>
  </cols>
  <sheetData>
    <row r="1" spans="1:85" s="1" customFormat="1" x14ac:dyDescent="0.25">
      <c r="A1" s="1" t="s">
        <v>274</v>
      </c>
      <c r="B1" s="1" t="s">
        <v>305</v>
      </c>
      <c r="C1" s="1" t="s">
        <v>135</v>
      </c>
      <c r="D1" s="1" t="s">
        <v>136</v>
      </c>
      <c r="E1" s="1" t="s">
        <v>143</v>
      </c>
      <c r="F1" s="1" t="s">
        <v>304</v>
      </c>
      <c r="G1" s="2" t="s">
        <v>137</v>
      </c>
      <c r="H1" s="39" t="s">
        <v>138</v>
      </c>
      <c r="I1" s="3" t="s">
        <v>269</v>
      </c>
      <c r="J1" s="1" t="s">
        <v>270</v>
      </c>
      <c r="K1" s="1" t="s">
        <v>133</v>
      </c>
      <c r="L1" s="1" t="s">
        <v>271</v>
      </c>
      <c r="M1" s="1" t="s">
        <v>272</v>
      </c>
      <c r="N1" s="40" t="s">
        <v>273</v>
      </c>
      <c r="O1" s="1" t="s">
        <v>2</v>
      </c>
      <c r="P1" s="1" t="s">
        <v>4</v>
      </c>
      <c r="Q1" s="1" t="s">
        <v>8</v>
      </c>
      <c r="R1" s="1" t="s">
        <v>6</v>
      </c>
      <c r="S1" s="1" t="s">
        <v>7</v>
      </c>
      <c r="T1" s="1" t="s">
        <v>12</v>
      </c>
      <c r="U1" s="1" t="s">
        <v>23</v>
      </c>
      <c r="V1" s="1" t="s">
        <v>31</v>
      </c>
      <c r="W1" s="1" t="s">
        <v>33</v>
      </c>
      <c r="X1" s="1" t="s">
        <v>0</v>
      </c>
      <c r="Y1" s="1" t="s">
        <v>1</v>
      </c>
      <c r="Z1" s="1" t="s">
        <v>3</v>
      </c>
      <c r="AA1" s="1" t="s">
        <v>9</v>
      </c>
      <c r="AB1" s="1" t="s">
        <v>10</v>
      </c>
      <c r="AC1" s="1" t="s">
        <v>11</v>
      </c>
      <c r="AD1" s="1" t="s">
        <v>275</v>
      </c>
      <c r="AE1" s="1" t="s">
        <v>13</v>
      </c>
      <c r="AF1" s="1" t="s">
        <v>14</v>
      </c>
      <c r="AG1" s="1" t="s">
        <v>16</v>
      </c>
      <c r="AH1" s="1" t="s">
        <v>17</v>
      </c>
      <c r="AI1" s="1" t="s">
        <v>18</v>
      </c>
      <c r="AJ1" s="1" t="s">
        <v>19</v>
      </c>
      <c r="AK1" s="1" t="s">
        <v>29</v>
      </c>
      <c r="AL1" s="1" t="s">
        <v>20</v>
      </c>
      <c r="AM1" s="1" t="s">
        <v>21</v>
      </c>
      <c r="AN1" s="1" t="s">
        <v>144</v>
      </c>
      <c r="AO1" s="1" t="s">
        <v>22</v>
      </c>
      <c r="AP1" s="1" t="s">
        <v>24</v>
      </c>
      <c r="AQ1" s="1" t="s">
        <v>25</v>
      </c>
      <c r="AR1" s="1" t="s">
        <v>26</v>
      </c>
      <c r="AS1" s="1" t="s">
        <v>27</v>
      </c>
      <c r="AT1" s="1" t="s">
        <v>28</v>
      </c>
      <c r="AU1" s="1" t="s">
        <v>30</v>
      </c>
      <c r="AV1" s="1" t="s">
        <v>32</v>
      </c>
      <c r="AW1" s="1" t="s">
        <v>34</v>
      </c>
      <c r="AX1" s="1" t="s">
        <v>35</v>
      </c>
      <c r="AY1" s="1" t="s">
        <v>36</v>
      </c>
      <c r="AZ1" s="1" t="s">
        <v>37</v>
      </c>
      <c r="BA1" s="1" t="s">
        <v>38</v>
      </c>
      <c r="BB1" s="1" t="s">
        <v>39</v>
      </c>
      <c r="BC1" s="1" t="s">
        <v>40</v>
      </c>
      <c r="BD1" s="1" t="s">
        <v>41</v>
      </c>
      <c r="BE1" s="1" t="s">
        <v>45</v>
      </c>
      <c r="BF1" s="1" t="s">
        <v>47</v>
      </c>
      <c r="BG1" s="1" t="s">
        <v>48</v>
      </c>
      <c r="BH1" s="1" t="s">
        <v>49</v>
      </c>
      <c r="BI1" s="1" t="s">
        <v>50</v>
      </c>
      <c r="BJ1" s="1" t="s">
        <v>51</v>
      </c>
      <c r="BK1" s="1" t="s">
        <v>52</v>
      </c>
      <c r="BL1" s="1" t="s">
        <v>53</v>
      </c>
      <c r="BM1" s="1" t="s">
        <v>54</v>
      </c>
      <c r="BN1" s="1" t="s">
        <v>55</v>
      </c>
      <c r="BO1" s="1" t="s">
        <v>56</v>
      </c>
      <c r="BP1" s="1" t="s">
        <v>57</v>
      </c>
      <c r="BQ1" s="38" t="s">
        <v>43</v>
      </c>
      <c r="BR1" s="38" t="s">
        <v>44</v>
      </c>
      <c r="BS1" s="4" t="s">
        <v>5</v>
      </c>
      <c r="BT1" s="4" t="s">
        <v>15</v>
      </c>
      <c r="BU1" s="4" t="s">
        <v>42</v>
      </c>
      <c r="BV1" s="4" t="s">
        <v>46</v>
      </c>
      <c r="BW1" s="4" t="s">
        <v>58</v>
      </c>
      <c r="BX1" s="4" t="s">
        <v>59</v>
      </c>
    </row>
    <row r="2" spans="1:85" s="8" customFormat="1" x14ac:dyDescent="0.25">
      <c r="A2" t="s">
        <v>284</v>
      </c>
      <c r="B2" s="18">
        <v>1</v>
      </c>
      <c r="C2" s="19">
        <v>43699</v>
      </c>
      <c r="D2" t="s">
        <v>285</v>
      </c>
      <c r="E2" t="s">
        <v>286</v>
      </c>
      <c r="F2">
        <v>14985</v>
      </c>
      <c r="G2" s="25">
        <v>-19.315690100000001</v>
      </c>
      <c r="H2" s="25">
        <v>146.59615210000001</v>
      </c>
      <c r="I2" s="26">
        <v>12.395168999999999</v>
      </c>
      <c r="J2" s="18">
        <f t="shared" ref="J2:J33" si="0">COUNTIF(O2:BO2,"&gt;0")</f>
        <v>5</v>
      </c>
      <c r="K2" s="34">
        <f t="shared" ref="K2:K33" si="1">J2/I2</f>
        <v>0.40338296315282191</v>
      </c>
      <c r="L2" s="32">
        <f t="shared" ref="L2:L33" si="2">SUM(BQ2:BR2)/SUM(O2:BX2)</f>
        <v>0</v>
      </c>
      <c r="M2" s="32">
        <f t="shared" ref="M2:M33" si="3">SUM(BS2:BX2)/SUM(O2:BX2)</f>
        <v>0.36380597014925375</v>
      </c>
      <c r="N2" s="30">
        <f t="shared" ref="N2:N33" si="4">SUM(BQ2:BX2)/SUM(O2:BX2)</f>
        <v>0.36380597014925375</v>
      </c>
      <c r="O2" s="23"/>
      <c r="P2" s="23"/>
      <c r="Q2" s="24">
        <v>19</v>
      </c>
      <c r="R2" s="23"/>
      <c r="S2" s="23"/>
      <c r="T2" s="23"/>
      <c r="U2"/>
      <c r="V2"/>
      <c r="W2" s="23"/>
      <c r="X2"/>
      <c r="Y2"/>
      <c r="Z2"/>
      <c r="AA2" s="24">
        <v>2</v>
      </c>
      <c r="AB2" s="23"/>
      <c r="AC2"/>
      <c r="AD2" s="23"/>
      <c r="AE2" s="23"/>
      <c r="AF2" s="23"/>
      <c r="AG2" s="23"/>
      <c r="AH2" s="23"/>
      <c r="AI2" s="23"/>
      <c r="AJ2"/>
      <c r="AK2" s="23"/>
      <c r="AL2" s="23"/>
      <c r="AM2" s="23"/>
      <c r="AN2"/>
      <c r="AO2" s="24">
        <v>230</v>
      </c>
      <c r="AP2" s="23"/>
      <c r="AQ2" s="23"/>
      <c r="AR2"/>
      <c r="AS2" s="24">
        <v>25</v>
      </c>
      <c r="AT2" s="23"/>
      <c r="AU2" s="24">
        <v>65</v>
      </c>
      <c r="AV2"/>
      <c r="AW2"/>
      <c r="AX2"/>
      <c r="AY2" s="23"/>
      <c r="AZ2" s="23"/>
      <c r="BA2" s="23"/>
      <c r="BB2" s="23"/>
      <c r="BC2"/>
      <c r="BD2" s="23"/>
      <c r="BE2" s="23"/>
      <c r="BF2" s="23"/>
      <c r="BG2"/>
      <c r="BH2" s="23"/>
      <c r="BI2"/>
      <c r="BJ2"/>
      <c r="BK2" s="23"/>
      <c r="BL2"/>
      <c r="BM2" s="23"/>
      <c r="BN2"/>
      <c r="BO2" s="23"/>
      <c r="BP2"/>
      <c r="BQ2" s="23"/>
      <c r="BR2"/>
      <c r="BS2" s="23"/>
      <c r="BT2" s="23"/>
      <c r="BU2" s="24">
        <v>195</v>
      </c>
      <c r="BV2" s="23"/>
      <c r="BW2" s="23"/>
      <c r="BX2" s="23"/>
      <c r="BY2"/>
      <c r="BZ2"/>
      <c r="CA2"/>
      <c r="CB2"/>
      <c r="CC2"/>
      <c r="CD2"/>
      <c r="CE2"/>
      <c r="CF2"/>
      <c r="CG2"/>
    </row>
    <row r="3" spans="1:85" s="8" customFormat="1" x14ac:dyDescent="0.25">
      <c r="A3" t="s">
        <v>287</v>
      </c>
      <c r="B3" s="18">
        <v>1</v>
      </c>
      <c r="C3" s="19">
        <v>43700</v>
      </c>
      <c r="D3" t="s">
        <v>285</v>
      </c>
      <c r="E3" t="s">
        <v>95</v>
      </c>
      <c r="F3">
        <v>12480</v>
      </c>
      <c r="G3" s="25">
        <v>-19.381121400000001</v>
      </c>
      <c r="H3" s="25">
        <v>146.5871281</v>
      </c>
      <c r="I3" s="26">
        <v>9.6110589999999991</v>
      </c>
      <c r="J3" s="18">
        <f t="shared" si="0"/>
        <v>7</v>
      </c>
      <c r="K3" s="34">
        <f t="shared" si="1"/>
        <v>0.72832764838921504</v>
      </c>
      <c r="L3" s="32">
        <f t="shared" si="2"/>
        <v>0</v>
      </c>
      <c r="M3" s="32">
        <f t="shared" si="3"/>
        <v>9.4736842105263161E-2</v>
      </c>
      <c r="N3" s="30">
        <f t="shared" si="4"/>
        <v>9.4736842105263161E-2</v>
      </c>
      <c r="O3" s="24">
        <v>1</v>
      </c>
      <c r="P3" s="23"/>
      <c r="Q3" s="24">
        <v>17</v>
      </c>
      <c r="R3" s="23"/>
      <c r="S3" s="23"/>
      <c r="T3" s="23"/>
      <c r="U3"/>
      <c r="V3"/>
      <c r="W3" s="24">
        <v>77</v>
      </c>
      <c r="X3"/>
      <c r="Y3"/>
      <c r="Z3"/>
      <c r="AA3" s="23"/>
      <c r="AB3" s="23"/>
      <c r="AC3"/>
      <c r="AD3" s="23"/>
      <c r="AE3" s="23"/>
      <c r="AF3" s="23"/>
      <c r="AG3" s="23"/>
      <c r="AH3" s="23"/>
      <c r="AI3" s="23"/>
      <c r="AJ3"/>
      <c r="AK3" s="23"/>
      <c r="AL3" s="23"/>
      <c r="AM3" s="23"/>
      <c r="AN3"/>
      <c r="AO3" s="24">
        <v>28</v>
      </c>
      <c r="AP3" s="23"/>
      <c r="AQ3" s="23"/>
      <c r="AR3"/>
      <c r="AS3" s="24">
        <v>93</v>
      </c>
      <c r="AT3" s="23"/>
      <c r="AU3" s="24">
        <v>285</v>
      </c>
      <c r="AV3"/>
      <c r="AW3"/>
      <c r="AX3"/>
      <c r="AY3" s="23"/>
      <c r="AZ3" s="23"/>
      <c r="BA3" s="23"/>
      <c r="BB3" s="24">
        <v>15</v>
      </c>
      <c r="BC3"/>
      <c r="BD3" s="23"/>
      <c r="BE3" s="23"/>
      <c r="BF3" s="23"/>
      <c r="BG3"/>
      <c r="BH3" s="23"/>
      <c r="BI3"/>
      <c r="BJ3"/>
      <c r="BK3" s="23"/>
      <c r="BL3"/>
      <c r="BM3" s="23"/>
      <c r="BN3"/>
      <c r="BO3" s="23"/>
      <c r="BP3"/>
      <c r="BQ3" s="23"/>
      <c r="BR3"/>
      <c r="BS3" s="23"/>
      <c r="BT3" s="23"/>
      <c r="BU3" s="24">
        <v>49</v>
      </c>
      <c r="BV3" s="24">
        <v>5</v>
      </c>
      <c r="BW3" s="23"/>
      <c r="BX3" s="23"/>
      <c r="BY3"/>
      <c r="BZ3"/>
      <c r="CA3"/>
      <c r="CB3"/>
      <c r="CC3"/>
      <c r="CD3"/>
      <c r="CE3"/>
      <c r="CF3"/>
      <c r="CG3"/>
    </row>
    <row r="4" spans="1:85" s="8" customFormat="1" x14ac:dyDescent="0.25">
      <c r="A4" s="8" t="s">
        <v>110</v>
      </c>
      <c r="B4" s="9">
        <v>1</v>
      </c>
      <c r="C4" s="10">
        <v>43698</v>
      </c>
      <c r="D4" s="8" t="s">
        <v>111</v>
      </c>
      <c r="E4" s="8" t="s">
        <v>112</v>
      </c>
      <c r="F4" s="8">
        <v>14267</v>
      </c>
      <c r="G4" s="11">
        <v>-19.397963099999998</v>
      </c>
      <c r="H4" s="11">
        <v>146.9494646</v>
      </c>
      <c r="I4" s="12">
        <v>12.530987</v>
      </c>
      <c r="J4" s="9">
        <f t="shared" si="0"/>
        <v>8</v>
      </c>
      <c r="K4" s="33">
        <f t="shared" si="1"/>
        <v>0.63841738882978649</v>
      </c>
      <c r="L4" s="31">
        <f t="shared" si="2"/>
        <v>0</v>
      </c>
      <c r="M4" s="31">
        <f t="shared" si="3"/>
        <v>2.8089887640449437E-3</v>
      </c>
      <c r="N4" s="29">
        <f t="shared" si="4"/>
        <v>2.8089887640449437E-3</v>
      </c>
      <c r="O4" s="14">
        <v>69</v>
      </c>
      <c r="P4" s="13"/>
      <c r="Q4" s="14">
        <v>5</v>
      </c>
      <c r="R4" s="13"/>
      <c r="S4" s="13"/>
      <c r="T4" s="14">
        <v>19</v>
      </c>
      <c r="W4" s="14">
        <v>1</v>
      </c>
      <c r="AA4" s="13"/>
      <c r="AB4" s="13"/>
      <c r="AD4" s="13"/>
      <c r="AE4" s="13"/>
      <c r="AF4" s="13"/>
      <c r="AG4" s="13"/>
      <c r="AH4" s="13"/>
      <c r="AI4" s="14">
        <v>1</v>
      </c>
      <c r="AK4" s="13"/>
      <c r="AL4" s="13"/>
      <c r="AM4" s="13"/>
      <c r="AO4" s="14">
        <v>140</v>
      </c>
      <c r="AP4" s="13"/>
      <c r="AQ4" s="13"/>
      <c r="AS4" s="14">
        <v>18</v>
      </c>
      <c r="AT4" s="13"/>
      <c r="AU4" s="14">
        <v>102</v>
      </c>
      <c r="AY4" s="13"/>
      <c r="AZ4" s="13"/>
      <c r="BA4" s="13"/>
      <c r="BB4" s="13"/>
      <c r="BD4" s="13"/>
      <c r="BE4" s="13"/>
      <c r="BF4" s="13"/>
      <c r="BH4" s="13"/>
      <c r="BK4" s="13"/>
      <c r="BM4" s="13"/>
      <c r="BO4" s="13"/>
      <c r="BQ4" s="13"/>
      <c r="BS4" s="13"/>
      <c r="BT4" s="13"/>
      <c r="BU4" s="13"/>
      <c r="BV4" s="14">
        <v>1</v>
      </c>
      <c r="BW4" s="13"/>
      <c r="BX4" s="13"/>
      <c r="BY4"/>
      <c r="BZ4"/>
      <c r="CA4"/>
      <c r="CB4"/>
      <c r="CC4"/>
      <c r="CD4"/>
      <c r="CE4"/>
      <c r="CF4"/>
      <c r="CG4"/>
    </row>
    <row r="5" spans="1:85" x14ac:dyDescent="0.25">
      <c r="A5" s="8" t="s">
        <v>125</v>
      </c>
      <c r="B5" s="9">
        <v>1</v>
      </c>
      <c r="C5" s="10">
        <v>43698</v>
      </c>
      <c r="D5" s="8" t="s">
        <v>111</v>
      </c>
      <c r="E5" s="8" t="s">
        <v>126</v>
      </c>
      <c r="F5" s="8">
        <v>14297</v>
      </c>
      <c r="G5" s="11">
        <v>-19.431330299999999</v>
      </c>
      <c r="H5" s="11">
        <v>146.94402819999999</v>
      </c>
      <c r="I5" s="12">
        <v>10.060269999999999</v>
      </c>
      <c r="J5" s="9">
        <f t="shared" si="0"/>
        <v>8</v>
      </c>
      <c r="K5" s="33">
        <f t="shared" si="1"/>
        <v>0.79520728568915156</v>
      </c>
      <c r="L5" s="31">
        <f t="shared" si="2"/>
        <v>0</v>
      </c>
      <c r="M5" s="31">
        <f t="shared" si="3"/>
        <v>2.9154518950437317E-3</v>
      </c>
      <c r="N5" s="29">
        <f t="shared" si="4"/>
        <v>2.9154518950437317E-3</v>
      </c>
      <c r="O5" s="13"/>
      <c r="P5" s="14">
        <v>2</v>
      </c>
      <c r="Q5" s="14">
        <v>17</v>
      </c>
      <c r="R5" s="13"/>
      <c r="S5" s="13"/>
      <c r="T5" s="14">
        <v>51</v>
      </c>
      <c r="U5" s="8"/>
      <c r="V5" s="8"/>
      <c r="W5" s="14">
        <v>6</v>
      </c>
      <c r="X5" s="8"/>
      <c r="Y5" s="8"/>
      <c r="Z5" s="8"/>
      <c r="AA5" s="13"/>
      <c r="AB5" s="13"/>
      <c r="AC5" s="8"/>
      <c r="AD5" s="14">
        <v>9</v>
      </c>
      <c r="AE5" s="13"/>
      <c r="AF5" s="13"/>
      <c r="AG5" s="13"/>
      <c r="AH5" s="13"/>
      <c r="AI5" s="13"/>
      <c r="AJ5" s="8"/>
      <c r="AK5" s="13"/>
      <c r="AL5" s="13"/>
      <c r="AM5" s="13"/>
      <c r="AN5" s="8"/>
      <c r="AO5" s="14">
        <v>101</v>
      </c>
      <c r="AP5" s="13"/>
      <c r="AQ5" s="13"/>
      <c r="AR5" s="8"/>
      <c r="AS5" s="14">
        <v>51</v>
      </c>
      <c r="AT5" s="13"/>
      <c r="AU5" s="14">
        <v>105</v>
      </c>
      <c r="AV5" s="8"/>
      <c r="AW5" s="8"/>
      <c r="AX5" s="8"/>
      <c r="AY5" s="13"/>
      <c r="AZ5" s="13"/>
      <c r="BA5" s="13"/>
      <c r="BB5" s="13"/>
      <c r="BC5" s="8"/>
      <c r="BD5" s="13"/>
      <c r="BE5" s="13"/>
      <c r="BF5" s="13"/>
      <c r="BG5" s="8"/>
      <c r="BH5" s="13"/>
      <c r="BI5" s="8"/>
      <c r="BJ5" s="8"/>
      <c r="BK5" s="13"/>
      <c r="BL5" s="8"/>
      <c r="BM5" s="13"/>
      <c r="BN5" s="8"/>
      <c r="BO5" s="13"/>
      <c r="BP5" s="8"/>
      <c r="BQ5" s="13"/>
      <c r="BR5" s="8"/>
      <c r="BS5" s="13"/>
      <c r="BT5" s="13"/>
      <c r="BU5" s="14">
        <v>1</v>
      </c>
      <c r="BV5" s="13"/>
      <c r="BW5" s="13"/>
      <c r="BX5" s="13"/>
    </row>
    <row r="6" spans="1:85" s="8" customFormat="1" x14ac:dyDescent="0.25">
      <c r="A6" t="s">
        <v>127</v>
      </c>
      <c r="B6" s="18">
        <v>1</v>
      </c>
      <c r="C6" s="19">
        <v>43699</v>
      </c>
      <c r="D6" t="s">
        <v>111</v>
      </c>
      <c r="E6" t="s">
        <v>128</v>
      </c>
      <c r="F6">
        <v>14293</v>
      </c>
      <c r="G6" s="25">
        <v>-19.404168899999998</v>
      </c>
      <c r="H6" s="25">
        <v>146.9470566</v>
      </c>
      <c r="I6" s="26">
        <v>12.458508</v>
      </c>
      <c r="J6" s="18">
        <f t="shared" si="0"/>
        <v>9</v>
      </c>
      <c r="K6" s="34">
        <f t="shared" si="1"/>
        <v>0.72239789868899229</v>
      </c>
      <c r="L6" s="32">
        <f t="shared" si="2"/>
        <v>0</v>
      </c>
      <c r="M6" s="32">
        <f t="shared" si="3"/>
        <v>0</v>
      </c>
      <c r="N6" s="30">
        <f t="shared" si="4"/>
        <v>0</v>
      </c>
      <c r="O6" s="24">
        <v>5</v>
      </c>
      <c r="P6" s="23"/>
      <c r="Q6" s="24">
        <v>4</v>
      </c>
      <c r="R6" s="23"/>
      <c r="S6" s="23"/>
      <c r="T6" s="24">
        <v>50</v>
      </c>
      <c r="U6"/>
      <c r="V6"/>
      <c r="W6" s="23"/>
      <c r="X6"/>
      <c r="Y6"/>
      <c r="Z6"/>
      <c r="AA6" s="23"/>
      <c r="AB6" s="23"/>
      <c r="AC6"/>
      <c r="AD6" s="24">
        <v>1</v>
      </c>
      <c r="AE6" s="23"/>
      <c r="AF6" s="23"/>
      <c r="AG6" s="23"/>
      <c r="AH6" s="23"/>
      <c r="AI6" s="24">
        <v>2</v>
      </c>
      <c r="AJ6"/>
      <c r="AK6" s="23"/>
      <c r="AL6" s="23"/>
      <c r="AM6" s="23"/>
      <c r="AN6"/>
      <c r="AO6" s="24">
        <v>60</v>
      </c>
      <c r="AP6" s="23"/>
      <c r="AQ6" s="23"/>
      <c r="AR6"/>
      <c r="AS6" s="24">
        <v>20</v>
      </c>
      <c r="AT6" s="23"/>
      <c r="AU6" s="24">
        <v>49</v>
      </c>
      <c r="AV6"/>
      <c r="AW6"/>
      <c r="AX6"/>
      <c r="AY6" s="23"/>
      <c r="AZ6" s="23"/>
      <c r="BA6" s="24">
        <v>2</v>
      </c>
      <c r="BB6" s="23"/>
      <c r="BC6"/>
      <c r="BD6" s="23"/>
      <c r="BE6" s="23"/>
      <c r="BF6" s="23"/>
      <c r="BG6"/>
      <c r="BH6" s="23"/>
      <c r="BI6"/>
      <c r="BJ6"/>
      <c r="BK6" s="23"/>
      <c r="BL6"/>
      <c r="BM6" s="23"/>
      <c r="BN6"/>
      <c r="BO6" s="23"/>
      <c r="BP6"/>
      <c r="BQ6" s="23"/>
      <c r="BR6"/>
      <c r="BS6" s="23"/>
      <c r="BT6" s="23"/>
      <c r="BU6" s="23"/>
      <c r="BV6" s="23"/>
      <c r="BW6" s="23"/>
      <c r="BX6" s="23"/>
      <c r="BY6"/>
      <c r="BZ6"/>
      <c r="CA6"/>
      <c r="CB6"/>
      <c r="CC6"/>
      <c r="CD6"/>
      <c r="CE6"/>
      <c r="CF6"/>
      <c r="CG6"/>
    </row>
    <row r="7" spans="1:85" s="8" customFormat="1" x14ac:dyDescent="0.25">
      <c r="A7" s="8" t="s">
        <v>110</v>
      </c>
      <c r="B7" s="9">
        <v>2</v>
      </c>
      <c r="C7" s="10">
        <v>44816</v>
      </c>
      <c r="D7" s="8" t="s">
        <v>111</v>
      </c>
      <c r="E7" s="8" t="s">
        <v>112</v>
      </c>
      <c r="F7" s="8">
        <v>14267</v>
      </c>
      <c r="G7" s="11">
        <v>-19.397963099999998</v>
      </c>
      <c r="H7" s="11">
        <v>146.9494646</v>
      </c>
      <c r="I7" s="12">
        <v>12.530987</v>
      </c>
      <c r="J7" s="9">
        <f t="shared" si="0"/>
        <v>6</v>
      </c>
      <c r="K7" s="33">
        <f t="shared" si="1"/>
        <v>0.4788130416223399</v>
      </c>
      <c r="L7" s="31">
        <f t="shared" si="2"/>
        <v>0</v>
      </c>
      <c r="M7" s="31">
        <f t="shared" si="3"/>
        <v>2.3121387283236993E-2</v>
      </c>
      <c r="N7" s="29">
        <f t="shared" si="4"/>
        <v>2.3121387283236993E-2</v>
      </c>
      <c r="O7" s="14">
        <v>3</v>
      </c>
      <c r="P7" s="13"/>
      <c r="Q7" s="14">
        <v>4</v>
      </c>
      <c r="R7" s="13"/>
      <c r="S7" s="13"/>
      <c r="T7" s="14">
        <v>10</v>
      </c>
      <c r="W7" s="13"/>
      <c r="AA7" s="13"/>
      <c r="AB7" s="13"/>
      <c r="AD7" s="13"/>
      <c r="AE7" s="13"/>
      <c r="AF7" s="13"/>
      <c r="AG7" s="13"/>
      <c r="AH7" s="13"/>
      <c r="AI7" s="13"/>
      <c r="AK7" s="13"/>
      <c r="AL7" s="13"/>
      <c r="AM7" s="13"/>
      <c r="AO7" s="14">
        <v>84</v>
      </c>
      <c r="AP7" s="13"/>
      <c r="AQ7" s="13"/>
      <c r="AS7" s="14">
        <v>5</v>
      </c>
      <c r="AT7" s="13"/>
      <c r="AU7" s="14">
        <v>63</v>
      </c>
      <c r="AY7" s="13"/>
      <c r="AZ7" s="13"/>
      <c r="BA7" s="13"/>
      <c r="BB7" s="13"/>
      <c r="BD7" s="13"/>
      <c r="BE7" s="13"/>
      <c r="BF7" s="13"/>
      <c r="BH7" s="13"/>
      <c r="BK7" s="13"/>
      <c r="BM7" s="13"/>
      <c r="BO7" s="13"/>
      <c r="BQ7" s="13"/>
      <c r="BS7" s="13"/>
      <c r="BT7" s="13"/>
      <c r="BU7" s="13"/>
      <c r="BV7" s="14">
        <v>3</v>
      </c>
      <c r="BW7" s="14">
        <v>1</v>
      </c>
      <c r="BX7" s="13"/>
      <c r="BY7"/>
      <c r="BZ7"/>
      <c r="CA7"/>
      <c r="CB7"/>
      <c r="CC7"/>
      <c r="CD7"/>
      <c r="CE7"/>
      <c r="CF7"/>
      <c r="CG7"/>
    </row>
    <row r="8" spans="1:85" s="8" customFormat="1" x14ac:dyDescent="0.25">
      <c r="A8" s="8" t="s">
        <v>125</v>
      </c>
      <c r="B8" s="9">
        <v>2</v>
      </c>
      <c r="C8" s="10">
        <v>44816</v>
      </c>
      <c r="D8" s="8" t="s">
        <v>111</v>
      </c>
      <c r="E8" s="8" t="s">
        <v>126</v>
      </c>
      <c r="F8" s="8">
        <v>14297</v>
      </c>
      <c r="G8" s="11">
        <v>-19.431330299999999</v>
      </c>
      <c r="H8" s="11">
        <v>146.94402819999999</v>
      </c>
      <c r="I8" s="12">
        <v>10.060269999999999</v>
      </c>
      <c r="J8" s="9">
        <f t="shared" si="0"/>
        <v>7</v>
      </c>
      <c r="K8" s="33">
        <f t="shared" si="1"/>
        <v>0.69580637497800757</v>
      </c>
      <c r="L8" s="31">
        <f t="shared" si="2"/>
        <v>0</v>
      </c>
      <c r="M8" s="31">
        <f t="shared" si="3"/>
        <v>4.0160642570281121E-3</v>
      </c>
      <c r="N8" s="29">
        <f t="shared" si="4"/>
        <v>4.0160642570281121E-3</v>
      </c>
      <c r="O8" s="13"/>
      <c r="P8" s="13"/>
      <c r="Q8" s="14">
        <v>17</v>
      </c>
      <c r="R8" s="13"/>
      <c r="S8" s="13"/>
      <c r="T8" s="14">
        <v>13</v>
      </c>
      <c r="W8" s="14">
        <v>9</v>
      </c>
      <c r="AA8" s="13"/>
      <c r="AB8" s="13"/>
      <c r="AD8" s="14">
        <v>4</v>
      </c>
      <c r="AE8" s="13"/>
      <c r="AF8" s="13"/>
      <c r="AG8" s="13"/>
      <c r="AH8" s="13"/>
      <c r="AI8" s="13"/>
      <c r="AK8" s="13"/>
      <c r="AL8" s="13"/>
      <c r="AM8" s="13"/>
      <c r="AO8" s="14">
        <v>84</v>
      </c>
      <c r="AP8" s="13"/>
      <c r="AQ8" s="13"/>
      <c r="AS8" s="14">
        <v>27</v>
      </c>
      <c r="AT8" s="13"/>
      <c r="AU8" s="14">
        <v>94</v>
      </c>
      <c r="AY8" s="13"/>
      <c r="AZ8" s="13"/>
      <c r="BA8" s="13"/>
      <c r="BB8" s="13"/>
      <c r="BD8" s="13"/>
      <c r="BE8" s="13"/>
      <c r="BF8" s="13"/>
      <c r="BH8" s="13"/>
      <c r="BK8" s="13"/>
      <c r="BM8" s="13"/>
      <c r="BO8" s="13"/>
      <c r="BQ8" s="13"/>
      <c r="BS8" s="13"/>
      <c r="BT8" s="13"/>
      <c r="BU8" s="13"/>
      <c r="BV8" s="14">
        <v>1</v>
      </c>
      <c r="BW8" s="13"/>
      <c r="BX8" s="13"/>
      <c r="BY8"/>
      <c r="BZ8"/>
      <c r="CA8"/>
      <c r="CB8"/>
      <c r="CC8"/>
      <c r="CD8"/>
      <c r="CE8"/>
      <c r="CF8"/>
      <c r="CG8"/>
    </row>
    <row r="9" spans="1:85" x14ac:dyDescent="0.25">
      <c r="A9" t="s">
        <v>127</v>
      </c>
      <c r="B9" s="18">
        <v>2</v>
      </c>
      <c r="C9" s="19">
        <v>44819</v>
      </c>
      <c r="D9" t="s">
        <v>111</v>
      </c>
      <c r="E9" t="s">
        <v>128</v>
      </c>
      <c r="F9">
        <v>14293</v>
      </c>
      <c r="G9" s="25">
        <v>-19.404168899999998</v>
      </c>
      <c r="H9" s="25">
        <v>146.9470566</v>
      </c>
      <c r="I9" s="26">
        <v>12.458508</v>
      </c>
      <c r="J9" s="18">
        <f t="shared" si="0"/>
        <v>8</v>
      </c>
      <c r="K9" s="34">
        <f t="shared" si="1"/>
        <v>0.64213146550132649</v>
      </c>
      <c r="L9" s="32">
        <f t="shared" si="2"/>
        <v>0</v>
      </c>
      <c r="M9" s="32">
        <f t="shared" si="3"/>
        <v>0</v>
      </c>
      <c r="N9" s="30">
        <f t="shared" si="4"/>
        <v>0</v>
      </c>
      <c r="O9" s="24">
        <v>5</v>
      </c>
      <c r="P9" s="23"/>
      <c r="Q9" s="24">
        <v>15</v>
      </c>
      <c r="R9" s="23"/>
      <c r="S9" s="23"/>
      <c r="T9" s="24">
        <v>6</v>
      </c>
      <c r="W9" s="24">
        <v>2</v>
      </c>
      <c r="AA9" s="23"/>
      <c r="AB9" s="23"/>
      <c r="AD9" s="23"/>
      <c r="AE9" s="23"/>
      <c r="AF9" s="23"/>
      <c r="AG9" s="23"/>
      <c r="AH9" s="23"/>
      <c r="AI9" s="24">
        <v>11</v>
      </c>
      <c r="AK9" s="23"/>
      <c r="AL9" s="23"/>
      <c r="AM9" s="23"/>
      <c r="AO9" s="24">
        <v>100</v>
      </c>
      <c r="AP9" s="23"/>
      <c r="AQ9" s="23"/>
      <c r="AS9" s="24">
        <v>10</v>
      </c>
      <c r="AT9" s="23"/>
      <c r="AU9" s="24">
        <v>70</v>
      </c>
      <c r="AY9" s="23"/>
      <c r="AZ9" s="23"/>
      <c r="BA9" s="23"/>
      <c r="BB9" s="23"/>
      <c r="BD9" s="23"/>
      <c r="BE9" s="23"/>
      <c r="BF9" s="23"/>
      <c r="BH9" s="23"/>
      <c r="BK9" s="23"/>
      <c r="BM9" s="23"/>
      <c r="BO9" s="23"/>
      <c r="BQ9" s="23"/>
      <c r="BS9" s="23"/>
      <c r="BT9" s="23"/>
      <c r="BU9" s="23"/>
      <c r="BV9" s="23"/>
      <c r="BW9" s="23"/>
      <c r="BX9" s="23"/>
    </row>
    <row r="10" spans="1:85" x14ac:dyDescent="0.25">
      <c r="A10" s="8" t="s">
        <v>110</v>
      </c>
      <c r="B10" s="9">
        <v>3</v>
      </c>
      <c r="C10" s="10">
        <v>45901</v>
      </c>
      <c r="D10" s="8" t="s">
        <v>111</v>
      </c>
      <c r="E10" s="8" t="s">
        <v>112</v>
      </c>
      <c r="F10" s="8">
        <v>14267</v>
      </c>
      <c r="G10" s="15">
        <v>-19.397960000000001</v>
      </c>
      <c r="H10" s="15">
        <v>146.94945999999999</v>
      </c>
      <c r="I10" s="16">
        <v>12.530987</v>
      </c>
      <c r="J10" s="17">
        <f t="shared" si="0"/>
        <v>8</v>
      </c>
      <c r="K10" s="33">
        <f t="shared" si="1"/>
        <v>0.63841738882978649</v>
      </c>
      <c r="L10" s="31">
        <f t="shared" si="2"/>
        <v>0</v>
      </c>
      <c r="M10" s="31">
        <f t="shared" si="3"/>
        <v>2.1390374331550801E-2</v>
      </c>
      <c r="N10" s="29">
        <f t="shared" si="4"/>
        <v>2.1390374331550801E-2</v>
      </c>
      <c r="O10" s="14">
        <v>24</v>
      </c>
      <c r="P10" s="13"/>
      <c r="Q10" s="14">
        <v>1</v>
      </c>
      <c r="R10" s="13"/>
      <c r="S10" s="13"/>
      <c r="T10" s="14">
        <v>2</v>
      </c>
      <c r="U10" s="8"/>
      <c r="V10" s="8"/>
      <c r="W10" s="14">
        <v>5</v>
      </c>
      <c r="X10" s="8"/>
      <c r="Y10" s="8"/>
      <c r="Z10" s="8"/>
      <c r="AA10" s="13"/>
      <c r="AB10" s="13"/>
      <c r="AC10" s="8"/>
      <c r="AD10" s="13"/>
      <c r="AE10" s="13"/>
      <c r="AF10" s="13"/>
      <c r="AG10" s="13"/>
      <c r="AH10" s="13"/>
      <c r="AI10" s="13"/>
      <c r="AJ10" s="8"/>
      <c r="AK10" s="13"/>
      <c r="AL10" s="14">
        <v>2</v>
      </c>
      <c r="AM10" s="13"/>
      <c r="AN10" s="8"/>
      <c r="AO10" s="14">
        <v>119</v>
      </c>
      <c r="AP10" s="13"/>
      <c r="AQ10" s="13"/>
      <c r="AR10" s="8"/>
      <c r="AS10" s="14">
        <v>10</v>
      </c>
      <c r="AT10" s="13"/>
      <c r="AU10" s="14">
        <v>20</v>
      </c>
      <c r="AV10" s="8"/>
      <c r="AW10" s="8"/>
      <c r="AX10" s="8"/>
      <c r="AY10" s="13"/>
      <c r="AZ10" s="13"/>
      <c r="BA10" s="13"/>
      <c r="BB10" s="13"/>
      <c r="BC10" s="8"/>
      <c r="BD10" s="13"/>
      <c r="BE10" s="13"/>
      <c r="BF10" s="13"/>
      <c r="BG10" s="8"/>
      <c r="BH10" s="13"/>
      <c r="BI10" s="8"/>
      <c r="BJ10" s="8"/>
      <c r="BK10" s="13"/>
      <c r="BL10" s="8"/>
      <c r="BM10" s="13"/>
      <c r="BN10" s="8"/>
      <c r="BO10" s="13"/>
      <c r="BP10" s="8"/>
      <c r="BQ10" s="13"/>
      <c r="BR10" s="8"/>
      <c r="BS10" s="13"/>
      <c r="BT10" s="13"/>
      <c r="BU10" s="13"/>
      <c r="BV10" s="14">
        <v>4</v>
      </c>
      <c r="BW10" s="13"/>
      <c r="BX10" s="13"/>
    </row>
    <row r="11" spans="1:85" x14ac:dyDescent="0.25">
      <c r="A11" s="8" t="s">
        <v>125</v>
      </c>
      <c r="B11" s="9">
        <v>3</v>
      </c>
      <c r="C11" s="10">
        <v>45901</v>
      </c>
      <c r="D11" s="8" t="s">
        <v>111</v>
      </c>
      <c r="E11" s="8" t="s">
        <v>126</v>
      </c>
      <c r="F11" s="8">
        <v>14297</v>
      </c>
      <c r="G11" s="15">
        <v>-19.431329999999999</v>
      </c>
      <c r="H11" s="15">
        <v>146.94403</v>
      </c>
      <c r="I11" s="16">
        <v>10.060269999999999</v>
      </c>
      <c r="J11" s="17">
        <f t="shared" si="0"/>
        <v>7</v>
      </c>
      <c r="K11" s="33">
        <f t="shared" si="1"/>
        <v>0.69580637497800757</v>
      </c>
      <c r="L11" s="31">
        <f t="shared" si="2"/>
        <v>0</v>
      </c>
      <c r="M11" s="31">
        <f t="shared" si="3"/>
        <v>0</v>
      </c>
      <c r="N11" s="29">
        <f t="shared" si="4"/>
        <v>0</v>
      </c>
      <c r="O11" s="13"/>
      <c r="P11" s="13"/>
      <c r="Q11" s="14">
        <v>11</v>
      </c>
      <c r="R11" s="13"/>
      <c r="S11" s="13"/>
      <c r="T11" s="14">
        <v>4</v>
      </c>
      <c r="U11" s="8"/>
      <c r="V11" s="8"/>
      <c r="W11" s="14">
        <v>7</v>
      </c>
      <c r="X11" s="8"/>
      <c r="Y11" s="8"/>
      <c r="Z11" s="8"/>
      <c r="AA11" s="13"/>
      <c r="AB11" s="13"/>
      <c r="AC11" s="8"/>
      <c r="AD11" s="13"/>
      <c r="AE11" s="13"/>
      <c r="AF11" s="13"/>
      <c r="AG11" s="13"/>
      <c r="AH11" s="13"/>
      <c r="AI11" s="13"/>
      <c r="AJ11" s="8"/>
      <c r="AK11" s="13"/>
      <c r="AL11" s="14">
        <v>1</v>
      </c>
      <c r="AM11" s="13"/>
      <c r="AN11" s="8"/>
      <c r="AO11" s="14">
        <v>137</v>
      </c>
      <c r="AP11" s="13"/>
      <c r="AQ11" s="13"/>
      <c r="AR11" s="8"/>
      <c r="AS11" s="14">
        <v>78</v>
      </c>
      <c r="AT11" s="13"/>
      <c r="AU11" s="14">
        <v>86</v>
      </c>
      <c r="AV11" s="8"/>
      <c r="AW11" s="8"/>
      <c r="AX11" s="8"/>
      <c r="AY11" s="13"/>
      <c r="AZ11" s="13"/>
      <c r="BA11" s="13"/>
      <c r="BB11" s="13"/>
      <c r="BC11" s="8"/>
      <c r="BD11" s="13"/>
      <c r="BE11" s="13"/>
      <c r="BF11" s="13"/>
      <c r="BG11" s="8"/>
      <c r="BH11" s="13"/>
      <c r="BI11" s="8"/>
      <c r="BJ11" s="8"/>
      <c r="BK11" s="13"/>
      <c r="BL11" s="8"/>
      <c r="BM11" s="13"/>
      <c r="BN11" s="8"/>
      <c r="BO11" s="13"/>
      <c r="BP11" s="8"/>
      <c r="BQ11" s="13"/>
      <c r="BR11" s="8"/>
      <c r="BS11" s="13"/>
      <c r="BT11" s="13"/>
      <c r="BU11" s="13"/>
      <c r="BV11" s="13"/>
      <c r="BW11" s="13"/>
      <c r="BX11" s="13"/>
    </row>
    <row r="12" spans="1:85" s="8" customFormat="1" x14ac:dyDescent="0.25">
      <c r="A12" t="s">
        <v>122</v>
      </c>
      <c r="B12" s="18">
        <v>1</v>
      </c>
      <c r="C12" s="19">
        <v>43699</v>
      </c>
      <c r="D12" t="s">
        <v>123</v>
      </c>
      <c r="E12" t="s">
        <v>124</v>
      </c>
      <c r="F12">
        <v>15091</v>
      </c>
      <c r="G12" s="25">
        <v>-19.4348788</v>
      </c>
      <c r="H12" s="25">
        <v>146.8551803</v>
      </c>
      <c r="I12" s="26">
        <v>12.904691</v>
      </c>
      <c r="J12" s="18">
        <f t="shared" si="0"/>
        <v>8</v>
      </c>
      <c r="K12" s="34">
        <f t="shared" si="1"/>
        <v>0.61992960544347786</v>
      </c>
      <c r="L12" s="32">
        <f t="shared" si="2"/>
        <v>0.31603773584905659</v>
      </c>
      <c r="M12" s="32">
        <f t="shared" si="3"/>
        <v>0</v>
      </c>
      <c r="N12" s="30">
        <f t="shared" si="4"/>
        <v>0.31603773584905659</v>
      </c>
      <c r="O12" s="24">
        <v>22</v>
      </c>
      <c r="P12" s="23"/>
      <c r="Q12" s="23"/>
      <c r="R12" s="23"/>
      <c r="S12" s="23"/>
      <c r="T12" s="24">
        <v>2</v>
      </c>
      <c r="U12"/>
      <c r="V12"/>
      <c r="W12" s="23"/>
      <c r="X12"/>
      <c r="Y12"/>
      <c r="Z12"/>
      <c r="AA12" s="23"/>
      <c r="AB12" s="23"/>
      <c r="AC12"/>
      <c r="AD12" s="24">
        <v>12</v>
      </c>
      <c r="AE12" s="23"/>
      <c r="AF12" s="23"/>
      <c r="AG12" s="23"/>
      <c r="AH12" s="23"/>
      <c r="AI12" s="24">
        <v>34</v>
      </c>
      <c r="AJ12"/>
      <c r="AK12" s="23"/>
      <c r="AL12" s="23"/>
      <c r="AM12" s="23"/>
      <c r="AN12"/>
      <c r="AO12" s="23"/>
      <c r="AP12" s="23"/>
      <c r="AQ12" s="23"/>
      <c r="AR12"/>
      <c r="AS12" s="23"/>
      <c r="AT12" s="23"/>
      <c r="AU12" s="24">
        <v>13</v>
      </c>
      <c r="AV12"/>
      <c r="AW12"/>
      <c r="AX12"/>
      <c r="AY12" s="23"/>
      <c r="AZ12" s="24">
        <v>48</v>
      </c>
      <c r="BA12" s="24">
        <v>1</v>
      </c>
      <c r="BB12" s="24">
        <v>13</v>
      </c>
      <c r="BC12"/>
      <c r="BD12" s="23"/>
      <c r="BE12" s="23"/>
      <c r="BF12" s="23"/>
      <c r="BG12"/>
      <c r="BH12" s="23"/>
      <c r="BI12"/>
      <c r="BJ12"/>
      <c r="BK12" s="23"/>
      <c r="BL12"/>
      <c r="BM12" s="23"/>
      <c r="BN12"/>
      <c r="BO12" s="23"/>
      <c r="BP12"/>
      <c r="BQ12" s="24">
        <v>67</v>
      </c>
      <c r="BR12"/>
      <c r="BS12" s="23"/>
      <c r="BT12" s="23"/>
      <c r="BU12" s="23"/>
      <c r="BV12" s="23"/>
      <c r="BW12" s="23"/>
      <c r="BX12" s="23"/>
      <c r="BY12"/>
      <c r="BZ12"/>
      <c r="CA12"/>
      <c r="CB12"/>
      <c r="CC12"/>
      <c r="CD12"/>
      <c r="CE12"/>
      <c r="CF12"/>
      <c r="CG12"/>
    </row>
    <row r="13" spans="1:85" x14ac:dyDescent="0.25">
      <c r="A13" t="s">
        <v>122</v>
      </c>
      <c r="B13" s="18">
        <v>2</v>
      </c>
      <c r="C13" s="19">
        <v>44817</v>
      </c>
      <c r="D13" t="s">
        <v>123</v>
      </c>
      <c r="E13" t="s">
        <v>124</v>
      </c>
      <c r="F13">
        <v>15091</v>
      </c>
      <c r="G13" s="25">
        <v>-19.4348788</v>
      </c>
      <c r="H13" s="25">
        <v>146.8551803</v>
      </c>
      <c r="I13" s="26">
        <v>12.904691</v>
      </c>
      <c r="J13" s="18">
        <f t="shared" si="0"/>
        <v>9</v>
      </c>
      <c r="K13" s="34">
        <f t="shared" si="1"/>
        <v>0.69742080612391266</v>
      </c>
      <c r="L13" s="32">
        <f t="shared" si="2"/>
        <v>2.4193548387096774E-2</v>
      </c>
      <c r="M13" s="32">
        <f t="shared" si="3"/>
        <v>0.11290322580645161</v>
      </c>
      <c r="N13" s="30">
        <f t="shared" si="4"/>
        <v>0.13709677419354838</v>
      </c>
      <c r="O13" s="24">
        <v>25</v>
      </c>
      <c r="P13" s="23"/>
      <c r="Q13" s="23"/>
      <c r="R13" s="23"/>
      <c r="S13" s="23"/>
      <c r="T13" s="24">
        <v>44</v>
      </c>
      <c r="W13" s="24">
        <v>8</v>
      </c>
      <c r="AA13" s="23"/>
      <c r="AB13" s="23"/>
      <c r="AD13" s="24">
        <v>11</v>
      </c>
      <c r="AE13" s="23"/>
      <c r="AF13" s="23"/>
      <c r="AG13" s="23"/>
      <c r="AH13" s="23"/>
      <c r="AI13" s="24">
        <v>8</v>
      </c>
      <c r="AK13" s="23"/>
      <c r="AL13" s="23"/>
      <c r="AM13" s="23"/>
      <c r="AO13" s="23"/>
      <c r="AP13" s="23"/>
      <c r="AQ13" s="23"/>
      <c r="AS13" s="24">
        <v>13</v>
      </c>
      <c r="AT13" s="23"/>
      <c r="AU13" s="24">
        <v>74</v>
      </c>
      <c r="AY13" s="23"/>
      <c r="AZ13" s="24">
        <v>22</v>
      </c>
      <c r="BA13" s="23"/>
      <c r="BB13" s="24">
        <v>9</v>
      </c>
      <c r="BD13" s="23"/>
      <c r="BE13" s="23"/>
      <c r="BF13" s="23"/>
      <c r="BH13" s="23"/>
      <c r="BK13" s="23"/>
      <c r="BM13" s="23"/>
      <c r="BO13" s="23"/>
      <c r="BQ13" s="24">
        <v>6</v>
      </c>
      <c r="BS13" s="23"/>
      <c r="BT13" s="24">
        <v>10</v>
      </c>
      <c r="BU13" s="24">
        <v>18</v>
      </c>
      <c r="BV13" s="23"/>
      <c r="BW13" s="23"/>
      <c r="BX13" s="23"/>
    </row>
    <row r="14" spans="1:85" x14ac:dyDescent="0.25">
      <c r="A14" t="s">
        <v>122</v>
      </c>
      <c r="B14" s="18">
        <v>3</v>
      </c>
      <c r="C14" s="19">
        <v>45901</v>
      </c>
      <c r="D14" t="s">
        <v>123</v>
      </c>
      <c r="E14" t="s">
        <v>124</v>
      </c>
      <c r="F14">
        <v>15091</v>
      </c>
      <c r="G14" s="20">
        <v>-19.43488</v>
      </c>
      <c r="H14" s="20">
        <v>146.85517999999999</v>
      </c>
      <c r="I14" s="21">
        <v>12.904691</v>
      </c>
      <c r="J14" s="22">
        <f t="shared" si="0"/>
        <v>6</v>
      </c>
      <c r="K14" s="34">
        <f t="shared" si="1"/>
        <v>0.46494720408260842</v>
      </c>
      <c r="L14" s="32">
        <f t="shared" si="2"/>
        <v>8.1081081081081086E-2</v>
      </c>
      <c r="M14" s="32">
        <f t="shared" si="3"/>
        <v>2.7027027027027029E-2</v>
      </c>
      <c r="N14" s="30">
        <f t="shared" si="4"/>
        <v>0.10810810810810811</v>
      </c>
      <c r="O14" s="24">
        <v>7</v>
      </c>
      <c r="P14" s="23"/>
      <c r="Q14" s="23"/>
      <c r="R14" s="23"/>
      <c r="S14" s="23"/>
      <c r="T14" s="23"/>
      <c r="W14" s="24">
        <v>2</v>
      </c>
      <c r="AA14" s="23"/>
      <c r="AB14" s="23"/>
      <c r="AD14" s="24">
        <v>2</v>
      </c>
      <c r="AE14" s="23"/>
      <c r="AF14" s="23"/>
      <c r="AG14" s="23"/>
      <c r="AH14" s="23"/>
      <c r="AI14" s="24">
        <v>7</v>
      </c>
      <c r="AK14" s="23"/>
      <c r="AL14" s="23"/>
      <c r="AM14" s="23"/>
      <c r="AO14" s="23"/>
      <c r="AP14" s="23"/>
      <c r="AQ14" s="23"/>
      <c r="AS14" s="24">
        <v>11</v>
      </c>
      <c r="AT14" s="23"/>
      <c r="AU14" s="23"/>
      <c r="AY14" s="23"/>
      <c r="AZ14" s="23"/>
      <c r="BA14" s="23"/>
      <c r="BB14" s="24">
        <v>4</v>
      </c>
      <c r="BD14" s="23"/>
      <c r="BE14" s="23"/>
      <c r="BF14" s="23"/>
      <c r="BH14" s="23"/>
      <c r="BK14" s="23"/>
      <c r="BM14" s="23"/>
      <c r="BO14" s="23"/>
      <c r="BQ14" s="24">
        <v>3</v>
      </c>
      <c r="BS14" s="23"/>
      <c r="BT14" s="23"/>
      <c r="BU14" s="24">
        <v>1</v>
      </c>
      <c r="BV14" s="23"/>
      <c r="BW14" s="23"/>
      <c r="BX14" s="23"/>
    </row>
    <row r="15" spans="1:85" s="8" customFormat="1" x14ac:dyDescent="0.25">
      <c r="A15" s="8" t="s">
        <v>63</v>
      </c>
      <c r="B15" s="9">
        <v>1</v>
      </c>
      <c r="C15" s="10">
        <v>43696</v>
      </c>
      <c r="D15" s="8" t="s">
        <v>64</v>
      </c>
      <c r="E15" s="8" t="s">
        <v>65</v>
      </c>
      <c r="F15" s="8">
        <v>9295</v>
      </c>
      <c r="G15" s="11">
        <v>-19.227228100000001</v>
      </c>
      <c r="H15" s="11">
        <v>146.62963010300001</v>
      </c>
      <c r="I15" s="12">
        <v>14.629471000000001</v>
      </c>
      <c r="J15" s="9">
        <f t="shared" si="0"/>
        <v>6</v>
      </c>
      <c r="K15" s="33">
        <f t="shared" si="1"/>
        <v>0.41013102934480677</v>
      </c>
      <c r="L15" s="31">
        <f t="shared" si="2"/>
        <v>0</v>
      </c>
      <c r="M15" s="31">
        <f t="shared" si="3"/>
        <v>0.15384615384615385</v>
      </c>
      <c r="N15" s="29">
        <f t="shared" si="4"/>
        <v>0.15384615384615385</v>
      </c>
      <c r="O15" s="13"/>
      <c r="P15" s="13"/>
      <c r="Q15" s="14">
        <v>35</v>
      </c>
      <c r="R15" s="13"/>
      <c r="S15" s="13"/>
      <c r="T15" s="13"/>
      <c r="W15" s="13"/>
      <c r="AA15" s="14">
        <v>5</v>
      </c>
      <c r="AB15" s="13"/>
      <c r="AD15" s="13"/>
      <c r="AE15" s="13"/>
      <c r="AF15" s="13"/>
      <c r="AG15" s="13"/>
      <c r="AH15" s="13"/>
      <c r="AI15" s="13"/>
      <c r="AK15" s="13"/>
      <c r="AL15" s="14">
        <v>15</v>
      </c>
      <c r="AM15" s="13"/>
      <c r="AO15" s="14">
        <v>10</v>
      </c>
      <c r="AP15" s="13"/>
      <c r="AQ15" s="13"/>
      <c r="AS15" s="14">
        <v>153</v>
      </c>
      <c r="AT15" s="13"/>
      <c r="AU15" s="14">
        <v>24</v>
      </c>
      <c r="AY15" s="13"/>
      <c r="AZ15" s="13"/>
      <c r="BA15" s="13"/>
      <c r="BB15" s="13"/>
      <c r="BD15" s="13"/>
      <c r="BE15" s="13"/>
      <c r="BF15" s="13"/>
      <c r="BH15" s="13"/>
      <c r="BK15" s="13"/>
      <c r="BM15" s="13"/>
      <c r="BO15" s="13"/>
      <c r="BQ15" s="13"/>
      <c r="BS15" s="13"/>
      <c r="BT15" s="14">
        <v>32</v>
      </c>
      <c r="BU15" s="14">
        <v>12</v>
      </c>
      <c r="BV15" s="13"/>
      <c r="BW15" s="13"/>
      <c r="BX15" s="13"/>
      <c r="BY15"/>
      <c r="BZ15"/>
      <c r="CA15"/>
      <c r="CB15"/>
      <c r="CC15"/>
      <c r="CD15"/>
      <c r="CE15"/>
      <c r="CF15"/>
      <c r="CG15"/>
    </row>
    <row r="16" spans="1:85" s="8" customFormat="1" x14ac:dyDescent="0.25">
      <c r="A16" s="8" t="s">
        <v>63</v>
      </c>
      <c r="B16" s="9">
        <v>2</v>
      </c>
      <c r="C16" s="10">
        <v>44816</v>
      </c>
      <c r="D16" s="8" t="s">
        <v>64</v>
      </c>
      <c r="E16" s="8" t="s">
        <v>65</v>
      </c>
      <c r="F16" s="8">
        <v>9295</v>
      </c>
      <c r="G16" s="11">
        <v>-19.227228100000001</v>
      </c>
      <c r="H16" s="11">
        <v>146.62963010300001</v>
      </c>
      <c r="I16" s="12">
        <v>14.629471000000001</v>
      </c>
      <c r="J16" s="9">
        <f t="shared" si="0"/>
        <v>6</v>
      </c>
      <c r="K16" s="33">
        <f t="shared" si="1"/>
        <v>0.41013102934480677</v>
      </c>
      <c r="L16" s="31">
        <f t="shared" si="2"/>
        <v>0</v>
      </c>
      <c r="M16" s="31">
        <f t="shared" si="3"/>
        <v>0.34302325581395349</v>
      </c>
      <c r="N16" s="29">
        <f t="shared" si="4"/>
        <v>0.34302325581395349</v>
      </c>
      <c r="O16" s="13"/>
      <c r="P16" s="13"/>
      <c r="Q16" s="14">
        <v>32</v>
      </c>
      <c r="R16" s="13"/>
      <c r="S16" s="13"/>
      <c r="T16" s="13"/>
      <c r="W16" s="13"/>
      <c r="AA16" s="13"/>
      <c r="AB16" s="13"/>
      <c r="AD16" s="13"/>
      <c r="AE16" s="13"/>
      <c r="AF16" s="13"/>
      <c r="AG16" s="13"/>
      <c r="AH16" s="13"/>
      <c r="AI16" s="13"/>
      <c r="AK16" s="13"/>
      <c r="AL16" s="14">
        <v>10</v>
      </c>
      <c r="AM16" s="13"/>
      <c r="AO16" s="14">
        <v>38</v>
      </c>
      <c r="AP16" s="13"/>
      <c r="AQ16" s="13"/>
      <c r="AS16" s="14">
        <v>19</v>
      </c>
      <c r="AT16" s="13"/>
      <c r="AU16" s="14">
        <v>2</v>
      </c>
      <c r="AY16" s="14">
        <v>12</v>
      </c>
      <c r="AZ16" s="13"/>
      <c r="BA16" s="13"/>
      <c r="BB16" s="13"/>
      <c r="BD16" s="13"/>
      <c r="BE16" s="13"/>
      <c r="BF16" s="13"/>
      <c r="BH16" s="13"/>
      <c r="BK16" s="13"/>
      <c r="BM16" s="13"/>
      <c r="BO16" s="13"/>
      <c r="BQ16" s="13"/>
      <c r="BS16" s="13"/>
      <c r="BT16" s="14">
        <v>45</v>
      </c>
      <c r="BU16" s="14">
        <v>14</v>
      </c>
      <c r="BV16" s="13"/>
      <c r="BW16" s="13"/>
      <c r="BX16" s="13"/>
      <c r="BY16"/>
      <c r="BZ16"/>
      <c r="CA16"/>
      <c r="CB16"/>
      <c r="CC16"/>
      <c r="CD16"/>
      <c r="CE16"/>
      <c r="CF16"/>
      <c r="CG16"/>
    </row>
    <row r="17" spans="1:85" s="8" customFormat="1" x14ac:dyDescent="0.25">
      <c r="A17" s="8" t="s">
        <v>63</v>
      </c>
      <c r="B17" s="9">
        <v>3</v>
      </c>
      <c r="C17" s="10">
        <v>45902</v>
      </c>
      <c r="D17" s="8" t="s">
        <v>64</v>
      </c>
      <c r="E17" s="8" t="s">
        <v>65</v>
      </c>
      <c r="F17" s="8">
        <v>9295</v>
      </c>
      <c r="G17" s="15">
        <v>-19.227799000000001</v>
      </c>
      <c r="H17" s="15">
        <v>146.629302</v>
      </c>
      <c r="I17" s="16">
        <v>14.629471000000001</v>
      </c>
      <c r="J17" s="17">
        <f t="shared" si="0"/>
        <v>5</v>
      </c>
      <c r="K17" s="33">
        <f t="shared" si="1"/>
        <v>0.34177585778733899</v>
      </c>
      <c r="L17" s="31">
        <f t="shared" si="2"/>
        <v>0</v>
      </c>
      <c r="M17" s="31">
        <f t="shared" si="3"/>
        <v>0.19101123595505617</v>
      </c>
      <c r="N17" s="29">
        <f t="shared" si="4"/>
        <v>0.19101123595505617</v>
      </c>
      <c r="O17" s="13"/>
      <c r="P17" s="13"/>
      <c r="Q17" s="14">
        <v>22</v>
      </c>
      <c r="R17" s="13"/>
      <c r="S17" s="13"/>
      <c r="T17" s="13"/>
      <c r="W17" s="14">
        <v>1</v>
      </c>
      <c r="AA17" s="13"/>
      <c r="AB17" s="13"/>
      <c r="AD17" s="13"/>
      <c r="AE17" s="13"/>
      <c r="AF17" s="13"/>
      <c r="AG17" s="13"/>
      <c r="AH17" s="13"/>
      <c r="AI17" s="13"/>
      <c r="AK17" s="13"/>
      <c r="AL17" s="13"/>
      <c r="AM17" s="13"/>
      <c r="AO17" s="14">
        <v>159</v>
      </c>
      <c r="AP17" s="13"/>
      <c r="AQ17" s="13"/>
      <c r="AS17" s="14">
        <v>6</v>
      </c>
      <c r="AT17" s="13"/>
      <c r="AU17" s="14">
        <v>28</v>
      </c>
      <c r="AY17" s="13"/>
      <c r="AZ17" s="13"/>
      <c r="BA17" s="13"/>
      <c r="BB17" s="13"/>
      <c r="BD17" s="13"/>
      <c r="BE17" s="13"/>
      <c r="BF17" s="13"/>
      <c r="BH17" s="13"/>
      <c r="BK17" s="13"/>
      <c r="BM17" s="13"/>
      <c r="BO17" s="13"/>
      <c r="BQ17" s="13"/>
      <c r="BS17" s="13"/>
      <c r="BT17" s="14">
        <v>33</v>
      </c>
      <c r="BU17" s="14">
        <v>18</v>
      </c>
      <c r="BV17" s="13"/>
      <c r="BW17" s="13"/>
      <c r="BX17" s="13"/>
      <c r="BY17"/>
      <c r="BZ17"/>
      <c r="CA17"/>
      <c r="CB17"/>
      <c r="CC17"/>
      <c r="CD17"/>
      <c r="CE17"/>
      <c r="CF17"/>
      <c r="CG17"/>
    </row>
    <row r="18" spans="1:85" x14ac:dyDescent="0.25">
      <c r="A18" t="s">
        <v>105</v>
      </c>
      <c r="B18" s="18">
        <v>1</v>
      </c>
      <c r="C18" s="19">
        <v>43700</v>
      </c>
      <c r="D18" t="s">
        <v>99</v>
      </c>
      <c r="E18" t="s">
        <v>106</v>
      </c>
      <c r="F18">
        <v>9099</v>
      </c>
      <c r="G18" s="25">
        <v>-19.290351485999999</v>
      </c>
      <c r="H18" s="25">
        <v>146.71073111800001</v>
      </c>
      <c r="I18" s="26">
        <v>13.449693999999999</v>
      </c>
      <c r="J18" s="18">
        <f t="shared" si="0"/>
        <v>10</v>
      </c>
      <c r="K18" s="34">
        <f t="shared" si="1"/>
        <v>0.74351133936578784</v>
      </c>
      <c r="L18" s="32">
        <f t="shared" si="2"/>
        <v>0</v>
      </c>
      <c r="M18" s="32">
        <f t="shared" si="3"/>
        <v>0.27616279069767441</v>
      </c>
      <c r="N18" s="30">
        <f t="shared" si="4"/>
        <v>0.27616279069767441</v>
      </c>
      <c r="O18" s="24">
        <v>4</v>
      </c>
      <c r="P18" s="23"/>
      <c r="Q18" s="24">
        <v>17</v>
      </c>
      <c r="R18" s="23"/>
      <c r="S18" s="23"/>
      <c r="T18" s="24">
        <v>19</v>
      </c>
      <c r="W18" s="23"/>
      <c r="AA18" s="24">
        <v>7</v>
      </c>
      <c r="AB18" s="23"/>
      <c r="AD18" s="23"/>
      <c r="AE18" s="23"/>
      <c r="AF18" s="23"/>
      <c r="AG18" s="23"/>
      <c r="AH18" s="23"/>
      <c r="AI18" s="23"/>
      <c r="AK18" s="23"/>
      <c r="AL18" s="23"/>
      <c r="AM18" s="23"/>
      <c r="AO18" s="24">
        <v>131</v>
      </c>
      <c r="AP18" s="24">
        <v>2</v>
      </c>
      <c r="AQ18" s="24">
        <v>1</v>
      </c>
      <c r="AS18" s="24">
        <v>23</v>
      </c>
      <c r="AT18" s="23"/>
      <c r="AU18" s="24">
        <v>43</v>
      </c>
      <c r="AY18" s="23"/>
      <c r="AZ18" s="23"/>
      <c r="BA18" s="23"/>
      <c r="BB18" s="23"/>
      <c r="BD18" s="23"/>
      <c r="BE18" s="24">
        <v>2</v>
      </c>
      <c r="BF18" s="23"/>
      <c r="BH18" s="23"/>
      <c r="BK18" s="23"/>
      <c r="BM18" s="23"/>
      <c r="BO18" s="23"/>
      <c r="BQ18" s="23"/>
      <c r="BS18" s="23"/>
      <c r="BT18" s="24">
        <v>14</v>
      </c>
      <c r="BU18" s="24">
        <v>81</v>
      </c>
      <c r="BV18" s="23"/>
      <c r="BW18" s="23"/>
      <c r="BX18" s="23"/>
    </row>
    <row r="19" spans="1:85" x14ac:dyDescent="0.25">
      <c r="A19" s="8" t="s">
        <v>103</v>
      </c>
      <c r="B19" s="9">
        <v>2</v>
      </c>
      <c r="C19" s="10">
        <v>44818</v>
      </c>
      <c r="D19" s="8" t="s">
        <v>99</v>
      </c>
      <c r="E19" s="8" t="s">
        <v>104</v>
      </c>
      <c r="F19" s="8">
        <v>12514</v>
      </c>
      <c r="G19" s="11">
        <v>-19.390806999999999</v>
      </c>
      <c r="H19" s="11">
        <v>146.70075700000001</v>
      </c>
      <c r="I19" s="12">
        <v>12.254076</v>
      </c>
      <c r="J19" s="9">
        <f t="shared" si="0"/>
        <v>6</v>
      </c>
      <c r="K19" s="33">
        <f t="shared" si="1"/>
        <v>0.48963300048081965</v>
      </c>
      <c r="L19" s="31">
        <f t="shared" si="2"/>
        <v>0</v>
      </c>
      <c r="M19" s="31">
        <f t="shared" si="3"/>
        <v>0.4467005076142132</v>
      </c>
      <c r="N19" s="29">
        <f t="shared" si="4"/>
        <v>0.4467005076142132</v>
      </c>
      <c r="O19" s="14">
        <v>31</v>
      </c>
      <c r="P19" s="13"/>
      <c r="Q19" s="13"/>
      <c r="R19" s="13"/>
      <c r="S19" s="13"/>
      <c r="T19" s="14">
        <v>9</v>
      </c>
      <c r="U19" s="8"/>
      <c r="V19" s="8"/>
      <c r="W19" s="13"/>
      <c r="X19" s="8"/>
      <c r="Y19" s="8"/>
      <c r="Z19" s="8"/>
      <c r="AA19" s="13"/>
      <c r="AB19" s="13"/>
      <c r="AC19" s="8"/>
      <c r="AD19" s="14">
        <v>45</v>
      </c>
      <c r="AE19" s="13"/>
      <c r="AF19" s="13"/>
      <c r="AG19" s="13"/>
      <c r="AH19" s="13"/>
      <c r="AI19" s="13"/>
      <c r="AJ19" s="8"/>
      <c r="AK19" s="13"/>
      <c r="AL19" s="13"/>
      <c r="AM19" s="13"/>
      <c r="AN19" s="8"/>
      <c r="AO19" s="13"/>
      <c r="AP19" s="13"/>
      <c r="AQ19" s="13"/>
      <c r="AR19" s="8"/>
      <c r="AS19" s="14">
        <v>4</v>
      </c>
      <c r="AT19" s="13"/>
      <c r="AU19" s="14">
        <v>19</v>
      </c>
      <c r="AV19" s="8"/>
      <c r="AW19" s="8"/>
      <c r="AX19" s="8"/>
      <c r="AY19" s="13"/>
      <c r="AZ19" s="13"/>
      <c r="BA19" s="13"/>
      <c r="BB19" s="14">
        <v>1</v>
      </c>
      <c r="BC19" s="8"/>
      <c r="BD19" s="13"/>
      <c r="BE19" s="13"/>
      <c r="BF19" s="13"/>
      <c r="BG19" s="8"/>
      <c r="BH19" s="13"/>
      <c r="BI19" s="8"/>
      <c r="BJ19" s="8"/>
      <c r="BK19" s="13"/>
      <c r="BL19" s="8"/>
      <c r="BM19" s="13"/>
      <c r="BN19" s="8"/>
      <c r="BO19" s="13"/>
      <c r="BP19" s="8"/>
      <c r="BQ19" s="13"/>
      <c r="BR19" s="8"/>
      <c r="BS19" s="13"/>
      <c r="BT19" s="14">
        <v>7</v>
      </c>
      <c r="BU19" s="14">
        <v>81</v>
      </c>
      <c r="BV19" s="13"/>
      <c r="BW19" s="13"/>
      <c r="BX19" s="13"/>
    </row>
    <row r="20" spans="1:85" x14ac:dyDescent="0.25">
      <c r="A20" t="s">
        <v>105</v>
      </c>
      <c r="B20" s="18">
        <v>2</v>
      </c>
      <c r="C20" s="19">
        <v>44819</v>
      </c>
      <c r="D20" t="s">
        <v>99</v>
      </c>
      <c r="E20" t="s">
        <v>106</v>
      </c>
      <c r="F20">
        <v>9099</v>
      </c>
      <c r="G20" s="25">
        <v>-19.290351485999999</v>
      </c>
      <c r="H20" s="25">
        <v>146.71073111800001</v>
      </c>
      <c r="I20" s="26">
        <v>13.449693999999999</v>
      </c>
      <c r="J20" s="18">
        <f t="shared" si="0"/>
        <v>9</v>
      </c>
      <c r="K20" s="34">
        <f t="shared" si="1"/>
        <v>0.66916020542920907</v>
      </c>
      <c r="L20" s="32">
        <f t="shared" si="2"/>
        <v>0</v>
      </c>
      <c r="M20" s="32">
        <f t="shared" si="3"/>
        <v>4.583333333333333E-2</v>
      </c>
      <c r="N20" s="30">
        <f t="shared" si="4"/>
        <v>4.583333333333333E-2</v>
      </c>
      <c r="O20" s="24">
        <v>2</v>
      </c>
      <c r="P20" s="23"/>
      <c r="Q20" s="24">
        <v>14</v>
      </c>
      <c r="R20" s="23"/>
      <c r="S20" s="23"/>
      <c r="T20" s="24">
        <v>18</v>
      </c>
      <c r="W20" s="23"/>
      <c r="AA20" s="23"/>
      <c r="AB20" s="23"/>
      <c r="AD20" s="23"/>
      <c r="AE20" s="23"/>
      <c r="AF20" s="23"/>
      <c r="AG20" s="23"/>
      <c r="AH20" s="23"/>
      <c r="AI20" s="23"/>
      <c r="AK20" s="23"/>
      <c r="AL20" s="24">
        <v>2</v>
      </c>
      <c r="AM20" s="23"/>
      <c r="AO20" s="24">
        <v>139</v>
      </c>
      <c r="AP20" s="24">
        <v>1</v>
      </c>
      <c r="AQ20" s="23"/>
      <c r="AS20" s="24">
        <v>5</v>
      </c>
      <c r="AT20" s="24">
        <v>1</v>
      </c>
      <c r="AU20" s="24">
        <v>47</v>
      </c>
      <c r="AY20" s="23"/>
      <c r="AZ20" s="23"/>
      <c r="BA20" s="23"/>
      <c r="BB20" s="23"/>
      <c r="BD20" s="23"/>
      <c r="BE20" s="23"/>
      <c r="BF20" s="23"/>
      <c r="BH20" s="23"/>
      <c r="BK20" s="23"/>
      <c r="BM20" s="23"/>
      <c r="BO20" s="23"/>
      <c r="BQ20" s="23"/>
      <c r="BS20" s="23"/>
      <c r="BT20" s="23"/>
      <c r="BU20" s="24">
        <v>11</v>
      </c>
      <c r="BV20" s="23"/>
      <c r="BW20" s="23"/>
      <c r="BX20" s="23"/>
    </row>
    <row r="21" spans="1:85" s="8" customFormat="1" x14ac:dyDescent="0.25">
      <c r="A21" t="s">
        <v>98</v>
      </c>
      <c r="B21" s="18">
        <v>2</v>
      </c>
      <c r="C21" s="19">
        <v>44819</v>
      </c>
      <c r="D21" t="s">
        <v>99</v>
      </c>
      <c r="E21" t="s">
        <v>100</v>
      </c>
      <c r="F21">
        <v>12531</v>
      </c>
      <c r="G21" s="25">
        <v>-19.347338000000001</v>
      </c>
      <c r="H21" s="25">
        <v>146.71269699999999</v>
      </c>
      <c r="I21" s="26">
        <v>12.950792</v>
      </c>
      <c r="J21" s="18">
        <f t="shared" si="0"/>
        <v>6</v>
      </c>
      <c r="K21" s="34">
        <f t="shared" si="1"/>
        <v>0.46329212916090384</v>
      </c>
      <c r="L21" s="32">
        <f t="shared" si="2"/>
        <v>0</v>
      </c>
      <c r="M21" s="32">
        <f t="shared" si="3"/>
        <v>0.10995850622406639</v>
      </c>
      <c r="N21" s="30">
        <f t="shared" si="4"/>
        <v>0.10995850622406639</v>
      </c>
      <c r="O21" s="24">
        <v>113</v>
      </c>
      <c r="P21" s="23"/>
      <c r="Q21" s="23"/>
      <c r="R21" s="23"/>
      <c r="S21" s="23"/>
      <c r="T21" s="24">
        <v>87</v>
      </c>
      <c r="U21"/>
      <c r="V21"/>
      <c r="W21" s="23"/>
      <c r="X21"/>
      <c r="Y21"/>
      <c r="Z21"/>
      <c r="AA21" s="23"/>
      <c r="AB21" s="23"/>
      <c r="AC21"/>
      <c r="AD21" s="24">
        <v>192</v>
      </c>
      <c r="AE21" s="23"/>
      <c r="AF21" s="23"/>
      <c r="AG21" s="23"/>
      <c r="AH21" s="23"/>
      <c r="AI21" s="23"/>
      <c r="AJ21"/>
      <c r="AK21" s="23"/>
      <c r="AL21" s="23"/>
      <c r="AM21" s="23"/>
      <c r="AN21"/>
      <c r="AO21" s="23"/>
      <c r="AP21" s="23"/>
      <c r="AQ21" s="23"/>
      <c r="AR21"/>
      <c r="AS21" s="24">
        <v>1</v>
      </c>
      <c r="AT21" s="23"/>
      <c r="AU21" s="24">
        <v>35</v>
      </c>
      <c r="AV21"/>
      <c r="AW21"/>
      <c r="AX21"/>
      <c r="AY21" s="23"/>
      <c r="AZ21" s="24">
        <v>1</v>
      </c>
      <c r="BA21" s="23"/>
      <c r="BB21" s="23"/>
      <c r="BC21"/>
      <c r="BD21" s="23"/>
      <c r="BE21" s="23"/>
      <c r="BF21" s="23"/>
      <c r="BG21"/>
      <c r="BH21" s="23"/>
      <c r="BI21"/>
      <c r="BJ21"/>
      <c r="BK21" s="23"/>
      <c r="BL21"/>
      <c r="BM21" s="23"/>
      <c r="BN21"/>
      <c r="BO21" s="23"/>
      <c r="BP21"/>
      <c r="BQ21" s="23"/>
      <c r="BR21"/>
      <c r="BS21" s="23"/>
      <c r="BT21" s="24">
        <v>32</v>
      </c>
      <c r="BU21" s="24">
        <v>19</v>
      </c>
      <c r="BV21" s="23"/>
      <c r="BW21" s="23"/>
      <c r="BX21" s="24">
        <v>2</v>
      </c>
      <c r="BY21"/>
      <c r="BZ21"/>
      <c r="CA21"/>
      <c r="CB21"/>
      <c r="CC21"/>
      <c r="CD21"/>
      <c r="CE21"/>
      <c r="CF21"/>
      <c r="CG21"/>
    </row>
    <row r="22" spans="1:85" s="8" customFormat="1" x14ac:dyDescent="0.25">
      <c r="A22" t="s">
        <v>105</v>
      </c>
      <c r="B22" s="18">
        <v>3</v>
      </c>
      <c r="C22" s="19">
        <v>45902</v>
      </c>
      <c r="D22" t="s">
        <v>99</v>
      </c>
      <c r="E22" t="s">
        <v>106</v>
      </c>
      <c r="F22">
        <v>9099</v>
      </c>
      <c r="G22" s="20">
        <v>-19.29035</v>
      </c>
      <c r="H22" s="20">
        <v>146.71073000000001</v>
      </c>
      <c r="I22" s="21">
        <v>13.449693999999999</v>
      </c>
      <c r="J22" s="22">
        <f t="shared" si="0"/>
        <v>12</v>
      </c>
      <c r="K22" s="34">
        <f t="shared" si="1"/>
        <v>0.89221360723894538</v>
      </c>
      <c r="L22" s="32">
        <f t="shared" si="2"/>
        <v>0</v>
      </c>
      <c r="M22" s="32">
        <f t="shared" si="3"/>
        <v>8.5501858736059477E-2</v>
      </c>
      <c r="N22" s="30">
        <f t="shared" si="4"/>
        <v>8.5501858736059477E-2</v>
      </c>
      <c r="O22" s="24">
        <v>7</v>
      </c>
      <c r="P22" s="23"/>
      <c r="Q22" s="24">
        <v>19</v>
      </c>
      <c r="R22" s="24">
        <v>1</v>
      </c>
      <c r="S22" s="23"/>
      <c r="T22" s="24">
        <v>1</v>
      </c>
      <c r="U22"/>
      <c r="V22"/>
      <c r="W22" s="23"/>
      <c r="X22"/>
      <c r="Y22"/>
      <c r="Z22"/>
      <c r="AA22" s="24">
        <v>2</v>
      </c>
      <c r="AB22" s="23"/>
      <c r="AC22"/>
      <c r="AD22" s="23"/>
      <c r="AE22" s="23"/>
      <c r="AF22" s="23"/>
      <c r="AG22" s="23"/>
      <c r="AH22" s="23"/>
      <c r="AI22" s="23"/>
      <c r="AJ22"/>
      <c r="AK22" s="23"/>
      <c r="AL22" s="24">
        <v>2</v>
      </c>
      <c r="AM22" s="24">
        <v>2</v>
      </c>
      <c r="AN22"/>
      <c r="AO22" s="24">
        <v>103</v>
      </c>
      <c r="AP22" s="24">
        <v>5</v>
      </c>
      <c r="AQ22" s="23"/>
      <c r="AR22"/>
      <c r="AS22" s="24">
        <v>21</v>
      </c>
      <c r="AT22" s="24">
        <v>1</v>
      </c>
      <c r="AU22" s="24">
        <v>82</v>
      </c>
      <c r="AV22"/>
      <c r="AW22"/>
      <c r="AX22"/>
      <c r="AY22" s="23"/>
      <c r="AZ22" s="23"/>
      <c r="BA22" s="23"/>
      <c r="BB22" s="23"/>
      <c r="BC22"/>
      <c r="BD22" s="23"/>
      <c r="BE22" s="23"/>
      <c r="BF22" s="23"/>
      <c r="BG22"/>
      <c r="BH22" s="23"/>
      <c r="BI22"/>
      <c r="BJ22"/>
      <c r="BK22" s="23"/>
      <c r="BL22"/>
      <c r="BM22" s="23"/>
      <c r="BN22"/>
      <c r="BO22" s="23"/>
      <c r="BP22"/>
      <c r="BQ22" s="23"/>
      <c r="BR22"/>
      <c r="BS22" s="23"/>
      <c r="BT22" s="24">
        <v>3</v>
      </c>
      <c r="BU22" s="24">
        <v>18</v>
      </c>
      <c r="BV22" s="23"/>
      <c r="BW22" s="23"/>
      <c r="BX22" s="24">
        <v>2</v>
      </c>
      <c r="BY22"/>
      <c r="BZ22"/>
      <c r="CA22"/>
      <c r="CB22"/>
      <c r="CC22"/>
      <c r="CD22"/>
      <c r="CE22"/>
      <c r="CF22"/>
      <c r="CG22"/>
    </row>
    <row r="23" spans="1:85" s="8" customFormat="1" x14ac:dyDescent="0.25">
      <c r="A23" s="8" t="s">
        <v>302</v>
      </c>
      <c r="B23" s="9">
        <v>3</v>
      </c>
      <c r="C23" s="10">
        <v>45908</v>
      </c>
      <c r="D23" s="10" t="s">
        <v>99</v>
      </c>
      <c r="E23" s="10" t="s">
        <v>303</v>
      </c>
      <c r="F23" s="8">
        <v>18844</v>
      </c>
      <c r="G23" s="15">
        <v>-19.325756999999999</v>
      </c>
      <c r="H23" s="15">
        <v>146.70448300000001</v>
      </c>
      <c r="I23" s="16">
        <v>13.399908999999999</v>
      </c>
      <c r="J23" s="17">
        <f t="shared" si="0"/>
        <v>8</v>
      </c>
      <c r="K23" s="33">
        <f t="shared" si="1"/>
        <v>0.59701897975575813</v>
      </c>
      <c r="L23" s="31">
        <f t="shared" si="2"/>
        <v>0</v>
      </c>
      <c r="M23" s="31">
        <f t="shared" si="3"/>
        <v>2.3346303501945526E-2</v>
      </c>
      <c r="N23" s="29">
        <f t="shared" si="4"/>
        <v>2.3346303501945526E-2</v>
      </c>
      <c r="O23" s="13"/>
      <c r="P23" s="13"/>
      <c r="Q23" s="14">
        <v>9</v>
      </c>
      <c r="R23" s="14">
        <v>2</v>
      </c>
      <c r="S23" s="13"/>
      <c r="T23" s="13"/>
      <c r="W23" s="13"/>
      <c r="AA23" s="13"/>
      <c r="AB23" s="13"/>
      <c r="AD23" s="13"/>
      <c r="AE23" s="13"/>
      <c r="AF23" s="13"/>
      <c r="AG23" s="13"/>
      <c r="AH23" s="13"/>
      <c r="AI23" s="13"/>
      <c r="AK23" s="13"/>
      <c r="AL23" s="13"/>
      <c r="AM23" s="13"/>
      <c r="AO23" s="14">
        <v>70</v>
      </c>
      <c r="AP23" s="14">
        <v>2</v>
      </c>
      <c r="AQ23" s="13"/>
      <c r="AS23" s="14">
        <v>53</v>
      </c>
      <c r="AT23" s="14">
        <v>1</v>
      </c>
      <c r="AU23" s="14">
        <v>113</v>
      </c>
      <c r="AY23" s="13"/>
      <c r="AZ23" s="13"/>
      <c r="BA23" s="13"/>
      <c r="BB23" s="14">
        <v>1</v>
      </c>
      <c r="BD23" s="13"/>
      <c r="BE23" s="13"/>
      <c r="BF23" s="13"/>
      <c r="BH23" s="13"/>
      <c r="BK23" s="13"/>
      <c r="BM23" s="13"/>
      <c r="BO23" s="13"/>
      <c r="BQ23" s="13"/>
      <c r="BS23" s="13"/>
      <c r="BT23" s="13"/>
      <c r="BU23" s="14">
        <v>5</v>
      </c>
      <c r="BV23" s="13"/>
      <c r="BW23" s="13"/>
      <c r="BX23" s="14">
        <v>1</v>
      </c>
      <c r="BY23"/>
      <c r="BZ23"/>
      <c r="CA23"/>
      <c r="CB23"/>
      <c r="CC23"/>
      <c r="CD23"/>
      <c r="CE23"/>
      <c r="CF23"/>
      <c r="CG23"/>
    </row>
    <row r="24" spans="1:85" s="8" customFormat="1" x14ac:dyDescent="0.25">
      <c r="A24" t="s">
        <v>80</v>
      </c>
      <c r="B24" s="18">
        <v>1</v>
      </c>
      <c r="C24" s="19">
        <v>43698</v>
      </c>
      <c r="D24" t="s">
        <v>81</v>
      </c>
      <c r="E24" t="s">
        <v>82</v>
      </c>
      <c r="F24">
        <v>9085</v>
      </c>
      <c r="G24" s="25">
        <v>-18.9591618</v>
      </c>
      <c r="H24" s="25">
        <v>146.26152329999999</v>
      </c>
      <c r="I24" s="26">
        <v>10.006556</v>
      </c>
      <c r="J24" s="18">
        <f t="shared" si="0"/>
        <v>7</v>
      </c>
      <c r="K24" s="34">
        <f t="shared" si="1"/>
        <v>0.69954138067083227</v>
      </c>
      <c r="L24" s="32">
        <f t="shared" si="2"/>
        <v>0</v>
      </c>
      <c r="M24" s="32">
        <f t="shared" si="3"/>
        <v>0</v>
      </c>
      <c r="N24" s="30">
        <f t="shared" si="4"/>
        <v>0</v>
      </c>
      <c r="O24" s="23"/>
      <c r="P24" s="23"/>
      <c r="Q24" s="24">
        <v>15</v>
      </c>
      <c r="R24" s="23"/>
      <c r="S24" s="23"/>
      <c r="T24" s="24">
        <v>10</v>
      </c>
      <c r="U24"/>
      <c r="V24"/>
      <c r="W24" s="24">
        <v>21</v>
      </c>
      <c r="X24"/>
      <c r="Y24"/>
      <c r="Z24"/>
      <c r="AA24" s="24">
        <v>4</v>
      </c>
      <c r="AB24" s="23"/>
      <c r="AC24"/>
      <c r="AD24" s="23"/>
      <c r="AE24" s="23"/>
      <c r="AF24" s="23"/>
      <c r="AG24" s="23"/>
      <c r="AH24" s="23"/>
      <c r="AI24" s="23"/>
      <c r="AJ24"/>
      <c r="AK24" s="23"/>
      <c r="AL24" s="23"/>
      <c r="AM24" s="23"/>
      <c r="AN24"/>
      <c r="AO24" s="24">
        <v>30</v>
      </c>
      <c r="AP24" s="24">
        <v>1</v>
      </c>
      <c r="AQ24" s="23"/>
      <c r="AR24"/>
      <c r="AS24" s="23"/>
      <c r="AT24" s="23"/>
      <c r="AU24" s="24">
        <v>90</v>
      </c>
      <c r="AV24"/>
      <c r="AW24"/>
      <c r="AX24"/>
      <c r="AY24" s="23"/>
      <c r="AZ24" s="23"/>
      <c r="BA24" s="23"/>
      <c r="BB24" s="23"/>
      <c r="BC24"/>
      <c r="BD24" s="23"/>
      <c r="BE24" s="23"/>
      <c r="BF24" s="23"/>
      <c r="BG24"/>
      <c r="BH24" s="23"/>
      <c r="BI24"/>
      <c r="BJ24"/>
      <c r="BK24" s="23"/>
      <c r="BL24"/>
      <c r="BM24" s="23"/>
      <c r="BN24"/>
      <c r="BO24" s="23"/>
      <c r="BP24"/>
      <c r="BQ24" s="23"/>
      <c r="BR24"/>
      <c r="BS24" s="23"/>
      <c r="BT24" s="23"/>
      <c r="BU24" s="23"/>
      <c r="BV24" s="23"/>
      <c r="BW24" s="23"/>
      <c r="BX24" s="23"/>
      <c r="BY24"/>
      <c r="BZ24"/>
      <c r="CA24"/>
      <c r="CB24"/>
      <c r="CC24"/>
      <c r="CD24"/>
      <c r="CE24"/>
      <c r="CF24"/>
      <c r="CG24"/>
    </row>
    <row r="25" spans="1:85" x14ac:dyDescent="0.25">
      <c r="A25" t="s">
        <v>80</v>
      </c>
      <c r="B25" s="18">
        <v>2</v>
      </c>
      <c r="C25" s="19">
        <v>44818</v>
      </c>
      <c r="D25" t="s">
        <v>81</v>
      </c>
      <c r="E25" t="s">
        <v>82</v>
      </c>
      <c r="F25">
        <v>9085</v>
      </c>
      <c r="G25" s="25">
        <v>-18.9591618</v>
      </c>
      <c r="H25" s="25">
        <v>146.26152329999999</v>
      </c>
      <c r="I25" s="26">
        <v>10.006556</v>
      </c>
      <c r="J25" s="18">
        <f t="shared" si="0"/>
        <v>6</v>
      </c>
      <c r="K25" s="34">
        <f t="shared" si="1"/>
        <v>0.59960689771785614</v>
      </c>
      <c r="L25" s="32">
        <f t="shared" si="2"/>
        <v>0</v>
      </c>
      <c r="M25" s="32">
        <f t="shared" si="3"/>
        <v>3.8834951456310676E-2</v>
      </c>
      <c r="N25" s="30">
        <f t="shared" si="4"/>
        <v>3.8834951456310676E-2</v>
      </c>
      <c r="O25" s="23"/>
      <c r="P25" s="23"/>
      <c r="Q25" s="24">
        <v>28</v>
      </c>
      <c r="R25" s="23"/>
      <c r="S25" s="23"/>
      <c r="T25" s="24">
        <v>17</v>
      </c>
      <c r="W25" s="24">
        <v>23</v>
      </c>
      <c r="AA25" s="24">
        <v>5</v>
      </c>
      <c r="AB25" s="23"/>
      <c r="AD25" s="23"/>
      <c r="AE25" s="23"/>
      <c r="AF25" s="23"/>
      <c r="AG25" s="23"/>
      <c r="AH25" s="23"/>
      <c r="AI25" s="23"/>
      <c r="AK25" s="23"/>
      <c r="AL25" s="23"/>
      <c r="AM25" s="23"/>
      <c r="AO25" s="23"/>
      <c r="AP25" s="24">
        <v>2</v>
      </c>
      <c r="AQ25" s="23"/>
      <c r="AS25" s="23"/>
      <c r="AT25" s="23"/>
      <c r="AU25" s="24">
        <v>24</v>
      </c>
      <c r="AY25" s="23"/>
      <c r="AZ25" s="23"/>
      <c r="BA25" s="23"/>
      <c r="BB25" s="23"/>
      <c r="BD25" s="23"/>
      <c r="BE25" s="23"/>
      <c r="BF25" s="23"/>
      <c r="BH25" s="23"/>
      <c r="BK25" s="23"/>
      <c r="BM25" s="23"/>
      <c r="BO25" s="23"/>
      <c r="BQ25" s="23"/>
      <c r="BS25" s="23"/>
      <c r="BT25" s="23"/>
      <c r="BU25" s="23"/>
      <c r="BV25" s="24">
        <v>4</v>
      </c>
      <c r="BW25" s="23"/>
      <c r="BX25" s="23"/>
    </row>
    <row r="26" spans="1:85" x14ac:dyDescent="0.25">
      <c r="A26" t="s">
        <v>80</v>
      </c>
      <c r="B26" s="18">
        <v>3</v>
      </c>
      <c r="C26" s="19">
        <v>45897</v>
      </c>
      <c r="D26" t="s">
        <v>81</v>
      </c>
      <c r="E26" t="s">
        <v>82</v>
      </c>
      <c r="F26">
        <v>9085</v>
      </c>
      <c r="G26" s="20">
        <v>-18.959471000000001</v>
      </c>
      <c r="H26" s="20">
        <v>146.261807</v>
      </c>
      <c r="I26" s="21">
        <v>10.006556</v>
      </c>
      <c r="J26" s="22">
        <f t="shared" si="0"/>
        <v>6</v>
      </c>
      <c r="K26" s="34">
        <f t="shared" si="1"/>
        <v>0.59960689771785614</v>
      </c>
      <c r="L26" s="32">
        <f t="shared" si="2"/>
        <v>0</v>
      </c>
      <c r="M26" s="32">
        <f t="shared" si="3"/>
        <v>1.3698630136986301E-2</v>
      </c>
      <c r="N26" s="30">
        <f t="shared" si="4"/>
        <v>1.3698630136986301E-2</v>
      </c>
      <c r="O26" s="23"/>
      <c r="P26" s="23"/>
      <c r="Q26" s="24">
        <v>5</v>
      </c>
      <c r="R26" s="24">
        <v>1</v>
      </c>
      <c r="S26" s="23"/>
      <c r="T26" s="24">
        <v>2</v>
      </c>
      <c r="W26" s="24">
        <v>13</v>
      </c>
      <c r="AA26" s="23"/>
      <c r="AB26" s="23"/>
      <c r="AD26" s="23"/>
      <c r="AE26" s="23"/>
      <c r="AF26" s="23"/>
      <c r="AG26" s="23"/>
      <c r="AH26" s="23"/>
      <c r="AI26" s="23"/>
      <c r="AK26" s="23"/>
      <c r="AL26" s="23"/>
      <c r="AM26" s="23"/>
      <c r="AO26" s="23"/>
      <c r="AP26" s="24">
        <v>13</v>
      </c>
      <c r="AQ26" s="23"/>
      <c r="AS26" s="23"/>
      <c r="AT26" s="23"/>
      <c r="AU26" s="24">
        <v>38</v>
      </c>
      <c r="AY26" s="23"/>
      <c r="AZ26" s="23"/>
      <c r="BA26" s="23"/>
      <c r="BB26" s="23"/>
      <c r="BD26" s="23"/>
      <c r="BE26" s="23"/>
      <c r="BF26" s="23"/>
      <c r="BH26" s="23"/>
      <c r="BK26" s="23"/>
      <c r="BM26" s="23"/>
      <c r="BO26" s="23"/>
      <c r="BQ26" s="23"/>
      <c r="BS26" s="23"/>
      <c r="BT26" s="23"/>
      <c r="BU26" s="23"/>
      <c r="BV26" s="24">
        <v>1</v>
      </c>
      <c r="BW26" s="23"/>
      <c r="BX26" s="23"/>
    </row>
    <row r="27" spans="1:85" x14ac:dyDescent="0.25">
      <c r="A27" t="s">
        <v>69</v>
      </c>
      <c r="B27" s="18">
        <v>1</v>
      </c>
      <c r="C27" s="19">
        <v>43698</v>
      </c>
      <c r="D27" t="s">
        <v>70</v>
      </c>
      <c r="E27" t="s">
        <v>71</v>
      </c>
      <c r="F27">
        <v>15154</v>
      </c>
      <c r="G27" s="25">
        <v>-19.2907993</v>
      </c>
      <c r="H27" s="25">
        <v>146.60099289999999</v>
      </c>
      <c r="I27" s="26">
        <v>11.654436</v>
      </c>
      <c r="J27" s="18">
        <f t="shared" si="0"/>
        <v>7</v>
      </c>
      <c r="K27" s="34">
        <f t="shared" si="1"/>
        <v>0.60062966581995048</v>
      </c>
      <c r="L27" s="32">
        <f t="shared" si="2"/>
        <v>0</v>
      </c>
      <c r="M27" s="32">
        <f t="shared" si="3"/>
        <v>0.19054441260744986</v>
      </c>
      <c r="N27" s="30">
        <f t="shared" si="4"/>
        <v>0.19054441260744986</v>
      </c>
      <c r="O27" s="24">
        <v>3</v>
      </c>
      <c r="P27" s="23"/>
      <c r="Q27" s="24">
        <v>2</v>
      </c>
      <c r="R27" s="23"/>
      <c r="S27" s="23"/>
      <c r="T27" s="23"/>
      <c r="W27" s="24">
        <v>5</v>
      </c>
      <c r="AA27" s="23"/>
      <c r="AB27" s="23"/>
      <c r="AD27" s="23"/>
      <c r="AE27" s="23"/>
      <c r="AF27" s="23"/>
      <c r="AG27" s="23"/>
      <c r="AH27" s="23"/>
      <c r="AI27" s="23"/>
      <c r="AK27" s="23"/>
      <c r="AL27" s="24">
        <v>1</v>
      </c>
      <c r="AM27" s="23"/>
      <c r="AO27" s="24">
        <v>329</v>
      </c>
      <c r="AP27" s="23"/>
      <c r="AQ27" s="23"/>
      <c r="AS27" s="24">
        <v>101</v>
      </c>
      <c r="AT27" s="23"/>
      <c r="AU27" s="24">
        <v>124</v>
      </c>
      <c r="AY27" s="23"/>
      <c r="AZ27" s="23"/>
      <c r="BA27" s="23"/>
      <c r="BB27" s="23"/>
      <c r="BD27" s="23"/>
      <c r="BE27" s="23"/>
      <c r="BF27" s="23"/>
      <c r="BH27" s="23"/>
      <c r="BK27" s="23"/>
      <c r="BM27" s="23"/>
      <c r="BO27" s="23"/>
      <c r="BQ27" s="23"/>
      <c r="BS27" s="23"/>
      <c r="BT27" s="24">
        <v>84</v>
      </c>
      <c r="BU27" s="24">
        <v>47</v>
      </c>
      <c r="BV27" s="24">
        <v>2</v>
      </c>
      <c r="BW27" s="23"/>
      <c r="BX27" s="23"/>
    </row>
    <row r="28" spans="1:85" s="8" customFormat="1" x14ac:dyDescent="0.25">
      <c r="A28" t="s">
        <v>69</v>
      </c>
      <c r="B28" s="18">
        <v>2</v>
      </c>
      <c r="C28" s="19">
        <v>44816</v>
      </c>
      <c r="D28" t="s">
        <v>70</v>
      </c>
      <c r="E28" t="s">
        <v>71</v>
      </c>
      <c r="F28">
        <v>15154</v>
      </c>
      <c r="G28" s="25">
        <v>-19.2907993</v>
      </c>
      <c r="H28" s="25">
        <v>146.60099289999999</v>
      </c>
      <c r="I28" s="26">
        <v>11.654436</v>
      </c>
      <c r="J28" s="18">
        <f t="shared" si="0"/>
        <v>5</v>
      </c>
      <c r="K28" s="34">
        <f t="shared" si="1"/>
        <v>0.42902118987139315</v>
      </c>
      <c r="L28" s="32">
        <f t="shared" si="2"/>
        <v>0</v>
      </c>
      <c r="M28" s="32">
        <f t="shared" si="3"/>
        <v>0.41269841269841268</v>
      </c>
      <c r="N28" s="30">
        <f t="shared" si="4"/>
        <v>0.41269841269841268</v>
      </c>
      <c r="O28" s="24">
        <v>9</v>
      </c>
      <c r="P28" s="23"/>
      <c r="Q28" s="24">
        <v>3</v>
      </c>
      <c r="R28" s="23"/>
      <c r="S28" s="23"/>
      <c r="T28" s="23"/>
      <c r="U28"/>
      <c r="V28"/>
      <c r="W28" s="23"/>
      <c r="X28"/>
      <c r="Y28"/>
      <c r="Z28"/>
      <c r="AA28" s="23"/>
      <c r="AB28" s="23"/>
      <c r="AC28"/>
      <c r="AD28" s="23"/>
      <c r="AE28" s="23"/>
      <c r="AF28" s="23"/>
      <c r="AG28" s="23"/>
      <c r="AH28" s="23"/>
      <c r="AI28" s="23"/>
      <c r="AJ28"/>
      <c r="AK28" s="23"/>
      <c r="AL28" s="23"/>
      <c r="AM28" s="23"/>
      <c r="AN28"/>
      <c r="AO28" s="24">
        <v>45</v>
      </c>
      <c r="AP28" s="23"/>
      <c r="AQ28" s="23"/>
      <c r="AR28"/>
      <c r="AS28" s="24">
        <v>14</v>
      </c>
      <c r="AT28" s="23"/>
      <c r="AU28" s="24">
        <v>3</v>
      </c>
      <c r="AV28"/>
      <c r="AW28"/>
      <c r="AX28"/>
      <c r="AY28" s="23"/>
      <c r="AZ28" s="23"/>
      <c r="BA28" s="23"/>
      <c r="BB28" s="23"/>
      <c r="BC28"/>
      <c r="BD28" s="23"/>
      <c r="BE28" s="23"/>
      <c r="BF28" s="23"/>
      <c r="BG28"/>
      <c r="BH28" s="23"/>
      <c r="BI28"/>
      <c r="BJ28"/>
      <c r="BK28" s="23"/>
      <c r="BL28"/>
      <c r="BM28" s="23"/>
      <c r="BN28"/>
      <c r="BO28" s="23"/>
      <c r="BP28"/>
      <c r="BQ28" s="23"/>
      <c r="BR28"/>
      <c r="BS28" s="23"/>
      <c r="BT28" s="24">
        <v>30</v>
      </c>
      <c r="BU28" s="24">
        <v>21</v>
      </c>
      <c r="BV28" s="24">
        <v>1</v>
      </c>
      <c r="BW28" s="23"/>
      <c r="BX28" s="23"/>
      <c r="BY28"/>
      <c r="BZ28"/>
      <c r="CA28"/>
      <c r="CB28"/>
      <c r="CC28"/>
      <c r="CD28"/>
      <c r="CE28"/>
      <c r="CF28"/>
      <c r="CG28"/>
    </row>
    <row r="29" spans="1:85" s="8" customFormat="1" x14ac:dyDescent="0.25">
      <c r="A29" t="s">
        <v>89</v>
      </c>
      <c r="B29" s="18">
        <v>1</v>
      </c>
      <c r="C29" s="19">
        <v>43699</v>
      </c>
      <c r="D29" t="s">
        <v>90</v>
      </c>
      <c r="E29" t="s">
        <v>91</v>
      </c>
      <c r="F29">
        <v>9480</v>
      </c>
      <c r="G29" s="25">
        <v>-18.980947841999999</v>
      </c>
      <c r="H29" s="25">
        <v>146.33347158300001</v>
      </c>
      <c r="I29" s="26">
        <v>11.603516000000001</v>
      </c>
      <c r="J29" s="18">
        <f t="shared" si="0"/>
        <v>8</v>
      </c>
      <c r="K29" s="34">
        <f t="shared" si="1"/>
        <v>0.68944619889350778</v>
      </c>
      <c r="L29" s="32">
        <f t="shared" si="2"/>
        <v>0</v>
      </c>
      <c r="M29" s="32">
        <f t="shared" si="3"/>
        <v>5.7803468208092483E-3</v>
      </c>
      <c r="N29" s="30">
        <f t="shared" si="4"/>
        <v>5.7803468208092483E-3</v>
      </c>
      <c r="O29" s="24">
        <v>5</v>
      </c>
      <c r="P29" s="23"/>
      <c r="Q29" s="24">
        <v>4</v>
      </c>
      <c r="R29" s="23"/>
      <c r="S29" s="23"/>
      <c r="T29" s="23"/>
      <c r="U29"/>
      <c r="V29"/>
      <c r="W29" s="24">
        <v>1</v>
      </c>
      <c r="X29"/>
      <c r="Y29"/>
      <c r="Z29"/>
      <c r="AA29" s="24">
        <v>8</v>
      </c>
      <c r="AB29" s="23"/>
      <c r="AC29"/>
      <c r="AD29" s="23"/>
      <c r="AE29" s="23"/>
      <c r="AF29" s="23"/>
      <c r="AG29" s="23"/>
      <c r="AH29" s="23"/>
      <c r="AI29" s="23"/>
      <c r="AJ29"/>
      <c r="AK29" s="23"/>
      <c r="AL29" s="23"/>
      <c r="AM29" s="23"/>
      <c r="AN29"/>
      <c r="AO29" s="24">
        <v>203</v>
      </c>
      <c r="AP29" s="23"/>
      <c r="AQ29" s="23"/>
      <c r="AR29"/>
      <c r="AS29" s="24">
        <v>24</v>
      </c>
      <c r="AT29" s="23"/>
      <c r="AU29" s="24">
        <v>98</v>
      </c>
      <c r="AV29"/>
      <c r="AW29"/>
      <c r="AX29"/>
      <c r="AY29" s="23"/>
      <c r="AZ29" s="23"/>
      <c r="BA29" s="23"/>
      <c r="BB29" s="24">
        <v>1</v>
      </c>
      <c r="BC29"/>
      <c r="BD29" s="23"/>
      <c r="BE29" s="23"/>
      <c r="BF29" s="23"/>
      <c r="BG29"/>
      <c r="BH29" s="23"/>
      <c r="BI29"/>
      <c r="BJ29"/>
      <c r="BK29" s="23"/>
      <c r="BL29"/>
      <c r="BM29" s="23"/>
      <c r="BN29"/>
      <c r="BO29" s="23"/>
      <c r="BP29"/>
      <c r="BQ29" s="23"/>
      <c r="BR29"/>
      <c r="BS29" s="23"/>
      <c r="BT29" s="24">
        <v>2</v>
      </c>
      <c r="BU29" s="23"/>
      <c r="BV29" s="23"/>
      <c r="BW29" s="23"/>
      <c r="BX29" s="23"/>
      <c r="BY29"/>
      <c r="BZ29"/>
      <c r="CA29"/>
      <c r="CB29"/>
      <c r="CC29"/>
      <c r="CD29"/>
      <c r="CE29"/>
      <c r="CF29"/>
      <c r="CG29"/>
    </row>
    <row r="30" spans="1:85" x14ac:dyDescent="0.25">
      <c r="A30" t="s">
        <v>89</v>
      </c>
      <c r="B30" s="18">
        <v>2</v>
      </c>
      <c r="C30" s="19">
        <v>44818</v>
      </c>
      <c r="D30" t="s">
        <v>90</v>
      </c>
      <c r="E30" t="s">
        <v>91</v>
      </c>
      <c r="F30">
        <v>9480</v>
      </c>
      <c r="G30" s="25">
        <v>-18.980947841999999</v>
      </c>
      <c r="H30" s="25">
        <v>146.33347158300001</v>
      </c>
      <c r="I30" s="26">
        <v>11.603516000000001</v>
      </c>
      <c r="J30" s="18">
        <f t="shared" si="0"/>
        <v>4</v>
      </c>
      <c r="K30" s="34">
        <f t="shared" si="1"/>
        <v>0.34472309944675389</v>
      </c>
      <c r="L30" s="32">
        <f t="shared" si="2"/>
        <v>0</v>
      </c>
      <c r="M30" s="32">
        <f t="shared" si="3"/>
        <v>0.2607879924953096</v>
      </c>
      <c r="N30" s="30">
        <f t="shared" si="4"/>
        <v>0.2607879924953096</v>
      </c>
      <c r="O30" s="23"/>
      <c r="P30" s="23"/>
      <c r="Q30" s="23"/>
      <c r="R30" s="23"/>
      <c r="S30" s="23"/>
      <c r="T30" s="23"/>
      <c r="W30" s="24">
        <v>55</v>
      </c>
      <c r="AA30" s="24">
        <v>2</v>
      </c>
      <c r="AB30" s="23"/>
      <c r="AD30" s="23"/>
      <c r="AE30" s="23"/>
      <c r="AF30" s="23"/>
      <c r="AG30" s="23"/>
      <c r="AH30" s="23"/>
      <c r="AI30" s="23"/>
      <c r="AK30" s="23"/>
      <c r="AL30" s="23"/>
      <c r="AM30" s="23"/>
      <c r="AO30" s="24">
        <v>3</v>
      </c>
      <c r="AP30" s="23"/>
      <c r="AQ30" s="23"/>
      <c r="AS30" s="23"/>
      <c r="AT30" s="23"/>
      <c r="AU30" s="24">
        <v>334</v>
      </c>
      <c r="AY30" s="23"/>
      <c r="AZ30" s="23"/>
      <c r="BA30" s="23"/>
      <c r="BB30" s="23"/>
      <c r="BD30" s="23"/>
      <c r="BE30" s="23"/>
      <c r="BF30" s="23"/>
      <c r="BH30" s="23"/>
      <c r="BK30" s="23"/>
      <c r="BM30" s="23"/>
      <c r="BO30" s="23"/>
      <c r="BQ30" s="23"/>
      <c r="BS30" s="23"/>
      <c r="BT30" s="24">
        <v>139</v>
      </c>
      <c r="BU30" s="23"/>
      <c r="BV30" s="23"/>
      <c r="BW30" s="23"/>
      <c r="BX30" s="23"/>
    </row>
    <row r="31" spans="1:85" s="8" customFormat="1" x14ac:dyDescent="0.25">
      <c r="A31" t="s">
        <v>89</v>
      </c>
      <c r="B31" s="18">
        <v>3</v>
      </c>
      <c r="C31" s="19">
        <v>45897</v>
      </c>
      <c r="D31" t="s">
        <v>90</v>
      </c>
      <c r="E31" t="s">
        <v>91</v>
      </c>
      <c r="F31">
        <v>9480</v>
      </c>
      <c r="G31" s="20">
        <v>-18.98095</v>
      </c>
      <c r="H31" s="20">
        <v>146.33347000000001</v>
      </c>
      <c r="I31" s="21">
        <v>11.603516000000001</v>
      </c>
      <c r="J31" s="22">
        <f t="shared" si="0"/>
        <v>9</v>
      </c>
      <c r="K31" s="34">
        <f t="shared" si="1"/>
        <v>0.77562697375519618</v>
      </c>
      <c r="L31" s="32">
        <f t="shared" si="2"/>
        <v>0</v>
      </c>
      <c r="M31" s="32">
        <f t="shared" si="3"/>
        <v>0</v>
      </c>
      <c r="N31" s="30">
        <f t="shared" si="4"/>
        <v>0</v>
      </c>
      <c r="O31" s="23"/>
      <c r="P31" s="23"/>
      <c r="Q31" s="24">
        <v>5</v>
      </c>
      <c r="R31" s="24">
        <v>1</v>
      </c>
      <c r="S31" s="23"/>
      <c r="T31" s="23"/>
      <c r="U31"/>
      <c r="V31"/>
      <c r="W31" s="24">
        <v>5</v>
      </c>
      <c r="X31"/>
      <c r="Y31"/>
      <c r="Z31"/>
      <c r="AA31" s="24">
        <v>1</v>
      </c>
      <c r="AB31" s="23"/>
      <c r="AC31"/>
      <c r="AD31" s="23"/>
      <c r="AE31" s="23"/>
      <c r="AF31" s="23"/>
      <c r="AG31" s="23"/>
      <c r="AH31" s="23"/>
      <c r="AI31" s="23"/>
      <c r="AJ31"/>
      <c r="AK31" s="23"/>
      <c r="AL31" s="24">
        <v>1</v>
      </c>
      <c r="AM31" s="23"/>
      <c r="AN31"/>
      <c r="AO31" s="24">
        <v>153</v>
      </c>
      <c r="AP31" s="23"/>
      <c r="AQ31" s="23"/>
      <c r="AR31"/>
      <c r="AS31" s="24">
        <v>6</v>
      </c>
      <c r="AT31" s="24">
        <v>1</v>
      </c>
      <c r="AU31" s="24">
        <v>228</v>
      </c>
      <c r="AV31"/>
      <c r="AW31"/>
      <c r="AX31"/>
      <c r="AY31" s="23"/>
      <c r="AZ31" s="23"/>
      <c r="BA31" s="23"/>
      <c r="BB31" s="23"/>
      <c r="BC31"/>
      <c r="BD31" s="23"/>
      <c r="BE31" s="23"/>
      <c r="BF31" s="23"/>
      <c r="BG31"/>
      <c r="BH31" s="23"/>
      <c r="BI31"/>
      <c r="BJ31"/>
      <c r="BK31" s="23"/>
      <c r="BL31"/>
      <c r="BM31" s="23"/>
      <c r="BN31"/>
      <c r="BO31" s="23"/>
      <c r="BP31"/>
      <c r="BQ31" s="23"/>
      <c r="BR31"/>
      <c r="BS31" s="23"/>
      <c r="BT31" s="23"/>
      <c r="BU31" s="23"/>
      <c r="BV31" s="23"/>
      <c r="BW31" s="23"/>
      <c r="BX31" s="23"/>
      <c r="BY31"/>
      <c r="BZ31"/>
      <c r="CA31"/>
      <c r="CB31"/>
      <c r="CC31"/>
      <c r="CD31"/>
      <c r="CE31"/>
      <c r="CF31"/>
      <c r="CG31"/>
    </row>
    <row r="32" spans="1:85" s="8" customFormat="1" x14ac:dyDescent="0.25">
      <c r="A32" s="8" t="s">
        <v>289</v>
      </c>
      <c r="B32" s="9">
        <v>3</v>
      </c>
      <c r="C32" s="10">
        <v>45909</v>
      </c>
      <c r="D32" s="10" t="s">
        <v>290</v>
      </c>
      <c r="E32" s="10" t="s">
        <v>291</v>
      </c>
      <c r="F32" s="8">
        <v>13750</v>
      </c>
      <c r="G32" s="15">
        <v>-19.440894</v>
      </c>
      <c r="H32" s="15">
        <v>146.95533900000001</v>
      </c>
      <c r="I32" s="16">
        <v>5.3178029999999996</v>
      </c>
      <c r="J32" s="17">
        <f t="shared" si="0"/>
        <v>2</v>
      </c>
      <c r="K32" s="33">
        <f t="shared" si="1"/>
        <v>0.37609516561632694</v>
      </c>
      <c r="L32" s="31">
        <f t="shared" si="2"/>
        <v>0</v>
      </c>
      <c r="M32" s="31">
        <f t="shared" si="3"/>
        <v>0.65289256198347112</v>
      </c>
      <c r="N32" s="29">
        <f t="shared" si="4"/>
        <v>0.65289256198347112</v>
      </c>
      <c r="O32" s="13"/>
      <c r="P32" s="13"/>
      <c r="Q32" s="13"/>
      <c r="R32" s="14">
        <v>2</v>
      </c>
      <c r="S32" s="13"/>
      <c r="T32" s="13"/>
      <c r="W32" s="14">
        <v>40</v>
      </c>
      <c r="AA32" s="13"/>
      <c r="AB32" s="13"/>
      <c r="AD32" s="13"/>
      <c r="AE32" s="13"/>
      <c r="AF32" s="13"/>
      <c r="AG32" s="13"/>
      <c r="AH32" s="13"/>
      <c r="AI32" s="13"/>
      <c r="AK32" s="13"/>
      <c r="AL32" s="13"/>
      <c r="AM32" s="13"/>
      <c r="AO32" s="13"/>
      <c r="AP32" s="13"/>
      <c r="AQ32" s="13"/>
      <c r="AS32" s="13"/>
      <c r="AT32" s="13"/>
      <c r="AU32" s="13"/>
      <c r="AY32" s="13"/>
      <c r="AZ32" s="13"/>
      <c r="BA32" s="13"/>
      <c r="BB32" s="13"/>
      <c r="BD32" s="13"/>
      <c r="BE32" s="13"/>
      <c r="BF32" s="13"/>
      <c r="BH32" s="13"/>
      <c r="BK32" s="13"/>
      <c r="BM32" s="13"/>
      <c r="BO32" s="13"/>
      <c r="BQ32" s="13"/>
      <c r="BS32" s="13"/>
      <c r="BT32" s="13"/>
      <c r="BU32" s="13"/>
      <c r="BV32" s="14">
        <v>79</v>
      </c>
      <c r="BW32" s="13"/>
      <c r="BX32" s="13"/>
      <c r="BY32"/>
      <c r="BZ32"/>
      <c r="CA32"/>
      <c r="CB32"/>
      <c r="CC32"/>
      <c r="CD32"/>
      <c r="CE32"/>
      <c r="CF32"/>
      <c r="CG32"/>
    </row>
    <row r="33" spans="1:85" s="8" customFormat="1" x14ac:dyDescent="0.25">
      <c r="A33" s="8" t="s">
        <v>72</v>
      </c>
      <c r="B33" s="9">
        <v>1</v>
      </c>
      <c r="C33" s="10">
        <v>43697</v>
      </c>
      <c r="D33" s="8" t="s">
        <v>73</v>
      </c>
      <c r="E33" s="8" t="s">
        <v>74</v>
      </c>
      <c r="F33" s="8">
        <v>15154</v>
      </c>
      <c r="G33" s="11">
        <v>-18.972832199999999</v>
      </c>
      <c r="H33" s="11">
        <v>146.27608069999999</v>
      </c>
      <c r="I33" s="12">
        <v>11.787072</v>
      </c>
      <c r="J33" s="9">
        <f t="shared" si="0"/>
        <v>9</v>
      </c>
      <c r="K33" s="33">
        <f t="shared" si="1"/>
        <v>0.76354840286035408</v>
      </c>
      <c r="L33" s="31">
        <f t="shared" si="2"/>
        <v>0</v>
      </c>
      <c r="M33" s="31">
        <f t="shared" si="3"/>
        <v>1.1627906976744186E-2</v>
      </c>
      <c r="N33" s="29">
        <f t="shared" si="4"/>
        <v>1.1627906976744186E-2</v>
      </c>
      <c r="O33" s="13"/>
      <c r="P33" s="13"/>
      <c r="Q33" s="14">
        <v>5</v>
      </c>
      <c r="R33" s="13"/>
      <c r="S33" s="13"/>
      <c r="T33" s="14">
        <v>4</v>
      </c>
      <c r="W33" s="14">
        <v>1</v>
      </c>
      <c r="AA33" s="14">
        <v>1</v>
      </c>
      <c r="AB33" s="13"/>
      <c r="AD33" s="13"/>
      <c r="AE33" s="13"/>
      <c r="AF33" s="13"/>
      <c r="AG33" s="13"/>
      <c r="AH33" s="13"/>
      <c r="AI33" s="13"/>
      <c r="AK33" s="13"/>
      <c r="AL33" s="14">
        <v>7</v>
      </c>
      <c r="AM33" s="13"/>
      <c r="AO33" s="14">
        <v>42</v>
      </c>
      <c r="AP33" s="14">
        <v>3</v>
      </c>
      <c r="AQ33" s="13"/>
      <c r="AS33" s="13"/>
      <c r="AT33" s="14">
        <v>2</v>
      </c>
      <c r="AU33" s="14">
        <v>20</v>
      </c>
      <c r="AY33" s="13"/>
      <c r="AZ33" s="13"/>
      <c r="BA33" s="13"/>
      <c r="BB33" s="13"/>
      <c r="BD33" s="13"/>
      <c r="BE33" s="13"/>
      <c r="BF33" s="13"/>
      <c r="BH33" s="13"/>
      <c r="BK33" s="13"/>
      <c r="BM33" s="13"/>
      <c r="BO33" s="13"/>
      <c r="BQ33" s="13"/>
      <c r="BS33" s="13"/>
      <c r="BT33" s="14">
        <v>1</v>
      </c>
      <c r="BU33" s="13"/>
      <c r="BV33" s="13"/>
      <c r="BW33" s="13"/>
      <c r="BX33" s="13"/>
      <c r="BY33"/>
      <c r="BZ33"/>
      <c r="CA33"/>
      <c r="CB33"/>
      <c r="CC33"/>
      <c r="CD33"/>
      <c r="CE33"/>
      <c r="CF33"/>
      <c r="CG33"/>
    </row>
    <row r="34" spans="1:85" x14ac:dyDescent="0.25">
      <c r="A34" s="8" t="s">
        <v>78</v>
      </c>
      <c r="B34" s="9">
        <v>1</v>
      </c>
      <c r="C34" s="10">
        <v>43697</v>
      </c>
      <c r="D34" s="8" t="s">
        <v>73</v>
      </c>
      <c r="E34" s="8" t="s">
        <v>79</v>
      </c>
      <c r="F34" s="8">
        <v>9117</v>
      </c>
      <c r="G34" s="11">
        <v>-18.957075100000001</v>
      </c>
      <c r="H34" s="11">
        <v>146.28486670000001</v>
      </c>
      <c r="I34" s="12">
        <v>14.832155999999999</v>
      </c>
      <c r="J34" s="9">
        <f t="shared" ref="J34:J65" si="5">COUNTIF(O34:BO34,"&gt;0")</f>
        <v>13</v>
      </c>
      <c r="K34" s="33">
        <f t="shared" ref="K34:K65" si="6">J34/I34</f>
        <v>0.87647406081759127</v>
      </c>
      <c r="L34" s="31">
        <f t="shared" ref="L34:L65" si="7">SUM(BQ34:BR34)/SUM(O34:BX34)</f>
        <v>0</v>
      </c>
      <c r="M34" s="31">
        <f t="shared" ref="M34:M65" si="8">SUM(BS34:BX34)/SUM(O34:BX34)</f>
        <v>0</v>
      </c>
      <c r="N34" s="29">
        <f t="shared" ref="N34:N65" si="9">SUM(BQ34:BX34)/SUM(O34:BX34)</f>
        <v>0</v>
      </c>
      <c r="O34" s="13"/>
      <c r="P34" s="13"/>
      <c r="Q34" s="14">
        <v>7</v>
      </c>
      <c r="R34" s="14">
        <v>1</v>
      </c>
      <c r="S34" s="13"/>
      <c r="T34" s="14">
        <v>7</v>
      </c>
      <c r="U34" s="8"/>
      <c r="V34" s="8"/>
      <c r="W34" s="13"/>
      <c r="X34" s="8"/>
      <c r="Y34" s="8"/>
      <c r="Z34" s="8"/>
      <c r="AA34" s="14">
        <v>5</v>
      </c>
      <c r="AB34" s="13"/>
      <c r="AC34" s="8"/>
      <c r="AD34" s="13"/>
      <c r="AE34" s="13"/>
      <c r="AF34" s="13"/>
      <c r="AG34" s="14">
        <v>4</v>
      </c>
      <c r="AH34" s="13"/>
      <c r="AI34" s="13"/>
      <c r="AJ34" s="8"/>
      <c r="AK34" s="13"/>
      <c r="AL34" s="14">
        <v>30</v>
      </c>
      <c r="AM34" s="13"/>
      <c r="AN34" s="8"/>
      <c r="AO34" s="14">
        <v>26</v>
      </c>
      <c r="AP34" s="14">
        <v>2</v>
      </c>
      <c r="AQ34" s="14">
        <v>1</v>
      </c>
      <c r="AR34" s="8"/>
      <c r="AS34" s="13"/>
      <c r="AT34" s="14">
        <v>1</v>
      </c>
      <c r="AU34" s="14">
        <v>24</v>
      </c>
      <c r="AV34" s="8"/>
      <c r="AW34" s="8"/>
      <c r="AX34" s="8"/>
      <c r="AY34" s="13"/>
      <c r="AZ34" s="13"/>
      <c r="BA34" s="13"/>
      <c r="BB34" s="13"/>
      <c r="BC34" s="8"/>
      <c r="BD34" s="14">
        <v>1</v>
      </c>
      <c r="BE34" s="13"/>
      <c r="BF34" s="13"/>
      <c r="BG34" s="8"/>
      <c r="BH34" s="13"/>
      <c r="BI34" s="8"/>
      <c r="BJ34" s="8"/>
      <c r="BK34" s="14">
        <v>1</v>
      </c>
      <c r="BL34" s="8"/>
      <c r="BM34" s="13"/>
      <c r="BN34" s="8"/>
      <c r="BO34" s="13"/>
      <c r="BP34" s="8"/>
      <c r="BQ34" s="13"/>
      <c r="BR34" s="8"/>
      <c r="BS34" s="13"/>
      <c r="BT34" s="13"/>
      <c r="BU34" s="13"/>
      <c r="BV34" s="13"/>
      <c r="BW34" s="13"/>
      <c r="BX34" s="13"/>
    </row>
    <row r="35" spans="1:85" x14ac:dyDescent="0.25">
      <c r="A35" s="8" t="s">
        <v>78</v>
      </c>
      <c r="B35" s="17" t="s">
        <v>283</v>
      </c>
      <c r="C35" s="10">
        <v>44431</v>
      </c>
      <c r="D35" s="8" t="s">
        <v>73</v>
      </c>
      <c r="E35" s="8" t="s">
        <v>79</v>
      </c>
      <c r="F35" s="8">
        <v>9117</v>
      </c>
      <c r="G35" s="11">
        <v>-18.956917663900001</v>
      </c>
      <c r="H35" s="11">
        <v>146.28461979599999</v>
      </c>
      <c r="I35" s="12">
        <v>14.832155999999999</v>
      </c>
      <c r="J35" s="9">
        <f t="shared" si="5"/>
        <v>10</v>
      </c>
      <c r="K35" s="33">
        <f t="shared" si="6"/>
        <v>0.67421081601353172</v>
      </c>
      <c r="L35" s="31">
        <f t="shared" si="7"/>
        <v>0</v>
      </c>
      <c r="M35" s="31">
        <f t="shared" si="8"/>
        <v>0</v>
      </c>
      <c r="N35" s="29">
        <f t="shared" si="9"/>
        <v>0</v>
      </c>
      <c r="O35" s="13"/>
      <c r="P35" s="13"/>
      <c r="Q35" s="14">
        <v>7</v>
      </c>
      <c r="R35" s="13"/>
      <c r="S35" s="13"/>
      <c r="T35" s="14">
        <v>9</v>
      </c>
      <c r="U35" s="8"/>
      <c r="V35" s="8"/>
      <c r="W35" s="14">
        <v>1</v>
      </c>
      <c r="X35" s="8"/>
      <c r="Y35" s="8"/>
      <c r="Z35" s="8"/>
      <c r="AA35" s="14">
        <v>4</v>
      </c>
      <c r="AB35" s="13"/>
      <c r="AC35" s="8"/>
      <c r="AD35" s="13"/>
      <c r="AE35" s="13"/>
      <c r="AF35" s="13"/>
      <c r="AG35" s="13"/>
      <c r="AH35" s="13"/>
      <c r="AI35" s="13"/>
      <c r="AJ35" s="8"/>
      <c r="AK35" s="13"/>
      <c r="AL35" s="14">
        <v>5</v>
      </c>
      <c r="AM35" s="13"/>
      <c r="AN35" s="8"/>
      <c r="AO35" s="14">
        <v>55</v>
      </c>
      <c r="AP35" s="14">
        <v>5</v>
      </c>
      <c r="AQ35" s="13"/>
      <c r="AR35" s="8"/>
      <c r="AS35" s="13"/>
      <c r="AT35" s="14">
        <v>4</v>
      </c>
      <c r="AU35" s="14">
        <v>68</v>
      </c>
      <c r="AV35" s="8"/>
      <c r="AW35" s="8"/>
      <c r="AX35" s="8"/>
      <c r="AY35" s="13"/>
      <c r="AZ35" s="13"/>
      <c r="BA35" s="13"/>
      <c r="BB35" s="13"/>
      <c r="BC35" s="8"/>
      <c r="BD35" s="14">
        <v>1</v>
      </c>
      <c r="BE35" s="13"/>
      <c r="BF35" s="13"/>
      <c r="BG35" s="8"/>
      <c r="BH35" s="13"/>
      <c r="BI35" s="8"/>
      <c r="BJ35" s="8"/>
      <c r="BK35" s="13"/>
      <c r="BL35" s="8"/>
      <c r="BM35" s="13"/>
      <c r="BN35" s="8"/>
      <c r="BO35" s="13"/>
      <c r="BP35" s="8"/>
      <c r="BQ35" s="13"/>
      <c r="BR35" s="8"/>
      <c r="BS35" s="13"/>
      <c r="BT35" s="13"/>
      <c r="BU35" s="13"/>
      <c r="BV35" s="13"/>
      <c r="BW35" s="13"/>
      <c r="BX35" s="13"/>
    </row>
    <row r="36" spans="1:85" x14ac:dyDescent="0.25">
      <c r="A36" s="8" t="s">
        <v>78</v>
      </c>
      <c r="B36" s="9">
        <v>2</v>
      </c>
      <c r="C36" s="10">
        <v>44817</v>
      </c>
      <c r="D36" s="8" t="s">
        <v>73</v>
      </c>
      <c r="E36" s="8" t="s">
        <v>79</v>
      </c>
      <c r="F36" s="8">
        <v>9117</v>
      </c>
      <c r="G36" s="11">
        <v>-18.957075100000001</v>
      </c>
      <c r="H36" s="11">
        <v>146.28486670000001</v>
      </c>
      <c r="I36" s="12">
        <v>14.832155999999999</v>
      </c>
      <c r="J36" s="9">
        <f t="shared" si="5"/>
        <v>10</v>
      </c>
      <c r="K36" s="33">
        <f t="shared" si="6"/>
        <v>0.67421081601353172</v>
      </c>
      <c r="L36" s="31">
        <f t="shared" si="7"/>
        <v>0</v>
      </c>
      <c r="M36" s="31">
        <f t="shared" si="8"/>
        <v>0</v>
      </c>
      <c r="N36" s="29">
        <f t="shared" si="9"/>
        <v>0</v>
      </c>
      <c r="O36" s="13"/>
      <c r="P36" s="13"/>
      <c r="Q36" s="14">
        <v>6</v>
      </c>
      <c r="R36" s="14">
        <v>1</v>
      </c>
      <c r="S36" s="13"/>
      <c r="T36" s="13"/>
      <c r="U36" s="8"/>
      <c r="V36" s="8"/>
      <c r="W36" s="13"/>
      <c r="X36" s="8"/>
      <c r="Y36" s="8"/>
      <c r="Z36" s="8"/>
      <c r="AA36" s="13"/>
      <c r="AB36" s="13"/>
      <c r="AC36" s="8"/>
      <c r="AD36" s="13"/>
      <c r="AE36" s="13"/>
      <c r="AF36" s="14">
        <v>1</v>
      </c>
      <c r="AG36" s="13"/>
      <c r="AH36" s="13"/>
      <c r="AI36" s="13"/>
      <c r="AJ36" s="8"/>
      <c r="AK36" s="13"/>
      <c r="AL36" s="14">
        <v>65</v>
      </c>
      <c r="AM36" s="13"/>
      <c r="AN36" s="8"/>
      <c r="AO36" s="14">
        <v>2</v>
      </c>
      <c r="AP36" s="14">
        <v>2</v>
      </c>
      <c r="AQ36" s="14">
        <v>1</v>
      </c>
      <c r="AR36" s="8"/>
      <c r="AS36" s="13"/>
      <c r="AT36" s="14">
        <v>1</v>
      </c>
      <c r="AU36" s="14">
        <v>9</v>
      </c>
      <c r="AV36" s="8"/>
      <c r="AW36" s="8"/>
      <c r="AX36" s="8"/>
      <c r="AY36" s="13"/>
      <c r="AZ36" s="13"/>
      <c r="BA36" s="13"/>
      <c r="BB36" s="13"/>
      <c r="BC36" s="8"/>
      <c r="BD36" s="13"/>
      <c r="BE36" s="13"/>
      <c r="BF36" s="13"/>
      <c r="BG36" s="8"/>
      <c r="BH36" s="13"/>
      <c r="BI36" s="8"/>
      <c r="BJ36" s="8"/>
      <c r="BK36" s="14">
        <v>3</v>
      </c>
      <c r="BL36" s="8"/>
      <c r="BM36" s="13"/>
      <c r="BN36" s="8"/>
      <c r="BO36" s="13"/>
      <c r="BP36" s="8"/>
      <c r="BQ36" s="13"/>
      <c r="BR36" s="8"/>
      <c r="BS36" s="13"/>
      <c r="BT36" s="13"/>
      <c r="BU36" s="13"/>
      <c r="BV36" s="13"/>
      <c r="BW36" s="13"/>
      <c r="BX36" s="13"/>
    </row>
    <row r="37" spans="1:85" s="8" customFormat="1" x14ac:dyDescent="0.25">
      <c r="A37" s="8" t="s">
        <v>72</v>
      </c>
      <c r="B37" s="9">
        <v>2</v>
      </c>
      <c r="C37" s="10">
        <v>44817</v>
      </c>
      <c r="D37" s="8" t="s">
        <v>73</v>
      </c>
      <c r="E37" s="8" t="s">
        <v>74</v>
      </c>
      <c r="F37" s="8">
        <v>15154</v>
      </c>
      <c r="G37" s="11">
        <v>-18.972832199999999</v>
      </c>
      <c r="H37" s="11">
        <v>146.27608069999999</v>
      </c>
      <c r="I37" s="12">
        <v>11.787072</v>
      </c>
      <c r="J37" s="9">
        <f t="shared" si="5"/>
        <v>9</v>
      </c>
      <c r="K37" s="33">
        <f t="shared" si="6"/>
        <v>0.76354840286035408</v>
      </c>
      <c r="L37" s="31">
        <f t="shared" si="7"/>
        <v>0</v>
      </c>
      <c r="M37" s="31">
        <f t="shared" si="8"/>
        <v>0</v>
      </c>
      <c r="N37" s="29">
        <f t="shared" si="9"/>
        <v>0</v>
      </c>
      <c r="O37" s="13"/>
      <c r="P37" s="13"/>
      <c r="Q37" s="14">
        <v>9</v>
      </c>
      <c r="R37" s="14">
        <v>2</v>
      </c>
      <c r="S37" s="13"/>
      <c r="T37" s="14">
        <v>13</v>
      </c>
      <c r="W37" s="14">
        <v>2</v>
      </c>
      <c r="AA37" s="14">
        <v>3</v>
      </c>
      <c r="AB37" s="13"/>
      <c r="AD37" s="13"/>
      <c r="AE37" s="13"/>
      <c r="AF37" s="13"/>
      <c r="AG37" s="13"/>
      <c r="AH37" s="13"/>
      <c r="AI37" s="13"/>
      <c r="AK37" s="13"/>
      <c r="AL37" s="14">
        <v>8</v>
      </c>
      <c r="AM37" s="13"/>
      <c r="AO37" s="14">
        <v>14</v>
      </c>
      <c r="AP37" s="14">
        <v>3</v>
      </c>
      <c r="AQ37" s="13"/>
      <c r="AS37" s="13"/>
      <c r="AT37" s="13"/>
      <c r="AU37" s="14">
        <v>9</v>
      </c>
      <c r="AY37" s="13"/>
      <c r="AZ37" s="13"/>
      <c r="BA37" s="13"/>
      <c r="BB37" s="13"/>
      <c r="BD37" s="13"/>
      <c r="BE37" s="13"/>
      <c r="BF37" s="13"/>
      <c r="BH37" s="13"/>
      <c r="BK37" s="13"/>
      <c r="BM37" s="13"/>
      <c r="BO37" s="13"/>
      <c r="BQ37" s="13"/>
      <c r="BS37" s="13"/>
      <c r="BT37" s="13"/>
      <c r="BU37" s="13"/>
      <c r="BV37" s="13"/>
      <c r="BW37" s="13"/>
      <c r="BX37" s="13"/>
      <c r="BY37"/>
      <c r="BZ37"/>
      <c r="CA37"/>
      <c r="CB37"/>
      <c r="CC37"/>
      <c r="CD37"/>
      <c r="CE37"/>
      <c r="CF37"/>
      <c r="CG37"/>
    </row>
    <row r="38" spans="1:85" s="8" customFormat="1" x14ac:dyDescent="0.25">
      <c r="A38" s="8" t="s">
        <v>78</v>
      </c>
      <c r="B38" s="9">
        <v>3</v>
      </c>
      <c r="C38" s="10">
        <v>45897</v>
      </c>
      <c r="D38" s="8" t="s">
        <v>73</v>
      </c>
      <c r="E38" s="8" t="s">
        <v>79</v>
      </c>
      <c r="F38" s="8">
        <v>9117</v>
      </c>
      <c r="G38" s="15">
        <v>-18.957080000000001</v>
      </c>
      <c r="H38" s="15">
        <v>146.28487000000001</v>
      </c>
      <c r="I38" s="16">
        <v>14.832155999999999</v>
      </c>
      <c r="J38" s="17">
        <f t="shared" si="5"/>
        <v>11</v>
      </c>
      <c r="K38" s="33">
        <f t="shared" si="6"/>
        <v>0.74163189761488491</v>
      </c>
      <c r="L38" s="31">
        <f t="shared" si="7"/>
        <v>0</v>
      </c>
      <c r="M38" s="31">
        <f t="shared" si="8"/>
        <v>0</v>
      </c>
      <c r="N38" s="29">
        <f t="shared" si="9"/>
        <v>0</v>
      </c>
      <c r="O38" s="13"/>
      <c r="P38" s="13"/>
      <c r="Q38" s="14">
        <v>2</v>
      </c>
      <c r="R38" s="14">
        <v>1</v>
      </c>
      <c r="S38" s="13"/>
      <c r="T38" s="14">
        <v>8</v>
      </c>
      <c r="W38" s="13"/>
      <c r="AA38" s="14">
        <v>1</v>
      </c>
      <c r="AB38" s="13"/>
      <c r="AD38" s="13"/>
      <c r="AE38" s="13"/>
      <c r="AF38" s="13"/>
      <c r="AG38" s="13"/>
      <c r="AH38" s="13"/>
      <c r="AI38" s="13"/>
      <c r="AK38" s="13"/>
      <c r="AL38" s="14">
        <v>17</v>
      </c>
      <c r="AM38" s="13"/>
      <c r="AO38" s="14">
        <v>36</v>
      </c>
      <c r="AP38" s="14">
        <v>4</v>
      </c>
      <c r="AQ38" s="13"/>
      <c r="AS38" s="13"/>
      <c r="AT38" s="14">
        <v>1</v>
      </c>
      <c r="AU38" s="14">
        <v>42</v>
      </c>
      <c r="AY38" s="13"/>
      <c r="AZ38" s="13"/>
      <c r="BA38" s="13"/>
      <c r="BB38" s="13"/>
      <c r="BD38" s="14">
        <v>1</v>
      </c>
      <c r="BE38" s="13"/>
      <c r="BF38" s="13"/>
      <c r="BH38" s="13"/>
      <c r="BK38" s="14">
        <v>5</v>
      </c>
      <c r="BM38" s="13"/>
      <c r="BO38" s="13"/>
      <c r="BQ38" s="13"/>
      <c r="BS38" s="13"/>
      <c r="BT38" s="13"/>
      <c r="BU38" s="13"/>
      <c r="BV38" s="13"/>
      <c r="BW38" s="13"/>
      <c r="BX38" s="13"/>
      <c r="BY38"/>
      <c r="BZ38"/>
      <c r="CA38"/>
      <c r="CB38"/>
      <c r="CC38"/>
      <c r="CD38"/>
      <c r="CE38"/>
      <c r="CF38"/>
      <c r="CG38"/>
    </row>
    <row r="39" spans="1:85" x14ac:dyDescent="0.25">
      <c r="A39" s="8" t="s">
        <v>72</v>
      </c>
      <c r="B39" s="9">
        <v>3</v>
      </c>
      <c r="C39" s="10">
        <v>45897</v>
      </c>
      <c r="D39" s="8" t="s">
        <v>73</v>
      </c>
      <c r="E39" s="8" t="s">
        <v>74</v>
      </c>
      <c r="F39" s="8">
        <v>15154</v>
      </c>
      <c r="G39" s="15">
        <v>-18.972991</v>
      </c>
      <c r="H39" s="15">
        <v>146.274767</v>
      </c>
      <c r="I39" s="16">
        <v>11.787072</v>
      </c>
      <c r="J39" s="17">
        <f t="shared" si="5"/>
        <v>7</v>
      </c>
      <c r="K39" s="33">
        <f t="shared" si="6"/>
        <v>0.59387098000249761</v>
      </c>
      <c r="L39" s="31">
        <f t="shared" si="7"/>
        <v>0</v>
      </c>
      <c r="M39" s="31">
        <f t="shared" si="8"/>
        <v>0</v>
      </c>
      <c r="N39" s="29">
        <f t="shared" si="9"/>
        <v>0</v>
      </c>
      <c r="O39" s="13"/>
      <c r="P39" s="13"/>
      <c r="Q39" s="14">
        <v>4</v>
      </c>
      <c r="R39" s="14">
        <v>2</v>
      </c>
      <c r="S39" s="13"/>
      <c r="T39" s="14">
        <v>7</v>
      </c>
      <c r="U39" s="8"/>
      <c r="V39" s="8"/>
      <c r="W39" s="14">
        <v>2</v>
      </c>
      <c r="X39" s="8"/>
      <c r="Y39" s="8"/>
      <c r="Z39" s="8"/>
      <c r="AA39" s="13"/>
      <c r="AB39" s="13"/>
      <c r="AC39" s="8"/>
      <c r="AD39" s="13"/>
      <c r="AE39" s="13"/>
      <c r="AF39" s="13"/>
      <c r="AG39" s="13"/>
      <c r="AH39" s="13"/>
      <c r="AI39" s="13"/>
      <c r="AJ39" s="8"/>
      <c r="AK39" s="13"/>
      <c r="AL39" s="13"/>
      <c r="AM39" s="13"/>
      <c r="AN39" s="8"/>
      <c r="AO39" s="14">
        <v>33</v>
      </c>
      <c r="AP39" s="14">
        <v>6</v>
      </c>
      <c r="AQ39" s="13"/>
      <c r="AR39" s="8"/>
      <c r="AS39" s="13"/>
      <c r="AT39" s="13"/>
      <c r="AU39" s="14">
        <v>23</v>
      </c>
      <c r="AV39" s="8"/>
      <c r="AW39" s="8"/>
      <c r="AX39" s="8"/>
      <c r="AY39" s="13"/>
      <c r="AZ39" s="13"/>
      <c r="BA39" s="13"/>
      <c r="BB39" s="13"/>
      <c r="BC39" s="8"/>
      <c r="BD39" s="13"/>
      <c r="BE39" s="13"/>
      <c r="BF39" s="13"/>
      <c r="BG39" s="8"/>
      <c r="BH39" s="13"/>
      <c r="BI39" s="8"/>
      <c r="BJ39" s="8"/>
      <c r="BK39" s="13"/>
      <c r="BL39" s="8"/>
      <c r="BM39" s="13"/>
      <c r="BN39" s="8"/>
      <c r="BO39" s="13"/>
      <c r="BP39" s="8"/>
      <c r="BQ39" s="13"/>
      <c r="BR39" s="8"/>
      <c r="BS39" s="13"/>
      <c r="BT39" s="13"/>
      <c r="BU39" s="13"/>
      <c r="BV39" s="13"/>
      <c r="BW39" s="13"/>
      <c r="BX39" s="13"/>
    </row>
    <row r="40" spans="1:85" s="8" customFormat="1" x14ac:dyDescent="0.25">
      <c r="A40" s="8" t="s">
        <v>83</v>
      </c>
      <c r="B40" s="9">
        <v>2</v>
      </c>
      <c r="C40" s="10">
        <v>44820</v>
      </c>
      <c r="D40" s="8" t="s">
        <v>84</v>
      </c>
      <c r="E40" s="8" t="s">
        <v>85</v>
      </c>
      <c r="F40" s="8">
        <v>10050</v>
      </c>
      <c r="G40" s="11">
        <v>-19.19228</v>
      </c>
      <c r="H40" s="11">
        <v>146.57301000000001</v>
      </c>
      <c r="I40" s="12">
        <v>12.703657</v>
      </c>
      <c r="J40" s="9">
        <f t="shared" si="5"/>
        <v>5</v>
      </c>
      <c r="K40" s="33">
        <f t="shared" si="6"/>
        <v>0.39358745280984836</v>
      </c>
      <c r="L40" s="31">
        <f t="shared" si="7"/>
        <v>0</v>
      </c>
      <c r="M40" s="31">
        <f t="shared" si="8"/>
        <v>2.9304029304029304E-2</v>
      </c>
      <c r="N40" s="29">
        <f t="shared" si="9"/>
        <v>2.9304029304029304E-2</v>
      </c>
      <c r="O40" s="14">
        <v>46</v>
      </c>
      <c r="P40" s="13"/>
      <c r="Q40" s="13"/>
      <c r="R40" s="13"/>
      <c r="S40" s="13"/>
      <c r="T40" s="13"/>
      <c r="W40" s="13"/>
      <c r="AA40" s="13"/>
      <c r="AB40" s="13"/>
      <c r="AD40" s="13"/>
      <c r="AE40" s="13"/>
      <c r="AF40" s="13"/>
      <c r="AG40" s="13"/>
      <c r="AH40" s="13"/>
      <c r="AI40" s="13"/>
      <c r="AK40" s="13"/>
      <c r="AL40" s="14">
        <v>1</v>
      </c>
      <c r="AM40" s="13"/>
      <c r="AO40" s="14">
        <v>112</v>
      </c>
      <c r="AP40" s="13"/>
      <c r="AQ40" s="13"/>
      <c r="AS40" s="14">
        <v>3</v>
      </c>
      <c r="AT40" s="13"/>
      <c r="AU40" s="14">
        <v>103</v>
      </c>
      <c r="AY40" s="13"/>
      <c r="AZ40" s="13"/>
      <c r="BA40" s="13"/>
      <c r="BB40" s="13"/>
      <c r="BD40" s="13"/>
      <c r="BE40" s="13"/>
      <c r="BF40" s="13"/>
      <c r="BH40" s="13"/>
      <c r="BK40" s="13"/>
      <c r="BM40" s="13"/>
      <c r="BO40" s="13"/>
      <c r="BQ40" s="13"/>
      <c r="BS40" s="13"/>
      <c r="BT40" s="14">
        <v>2</v>
      </c>
      <c r="BU40" s="14">
        <v>6</v>
      </c>
      <c r="BV40" s="13"/>
      <c r="BW40" s="13"/>
      <c r="BX40" s="13"/>
      <c r="BY40"/>
      <c r="BZ40"/>
      <c r="CA40"/>
      <c r="CB40"/>
      <c r="CC40"/>
      <c r="CD40"/>
      <c r="CE40"/>
      <c r="CF40"/>
      <c r="CG40"/>
    </row>
    <row r="41" spans="1:85" s="8" customFormat="1" x14ac:dyDescent="0.25">
      <c r="A41" s="8" t="s">
        <v>83</v>
      </c>
      <c r="B41" s="9">
        <v>3</v>
      </c>
      <c r="C41" s="10">
        <v>45903</v>
      </c>
      <c r="D41" s="8" t="s">
        <v>84</v>
      </c>
      <c r="E41" s="8" t="s">
        <v>85</v>
      </c>
      <c r="F41" s="8">
        <v>10050</v>
      </c>
      <c r="G41" s="15">
        <v>-19.191997000000001</v>
      </c>
      <c r="H41" s="15">
        <v>146.57343599999999</v>
      </c>
      <c r="I41" s="16">
        <v>12.703657</v>
      </c>
      <c r="J41" s="17">
        <f t="shared" si="5"/>
        <v>3</v>
      </c>
      <c r="K41" s="33">
        <f t="shared" si="6"/>
        <v>0.23615247168590903</v>
      </c>
      <c r="L41" s="31">
        <f t="shared" si="7"/>
        <v>0</v>
      </c>
      <c r="M41" s="31">
        <f t="shared" si="8"/>
        <v>0.57894736842105265</v>
      </c>
      <c r="N41" s="29">
        <f t="shared" si="9"/>
        <v>0.57894736842105265</v>
      </c>
      <c r="O41" s="14">
        <v>3</v>
      </c>
      <c r="P41" s="13"/>
      <c r="Q41" s="13"/>
      <c r="R41" s="13"/>
      <c r="S41" s="13"/>
      <c r="T41" s="13"/>
      <c r="W41" s="13"/>
      <c r="AA41" s="13"/>
      <c r="AB41" s="13"/>
      <c r="AD41" s="13"/>
      <c r="AE41" s="13"/>
      <c r="AF41" s="13"/>
      <c r="AG41" s="13"/>
      <c r="AH41" s="13"/>
      <c r="AI41" s="13"/>
      <c r="AK41" s="13"/>
      <c r="AL41" s="13"/>
      <c r="AM41" s="13"/>
      <c r="AO41" s="14">
        <v>4</v>
      </c>
      <c r="AP41" s="13"/>
      <c r="AQ41" s="13"/>
      <c r="AS41" s="13"/>
      <c r="AT41" s="13"/>
      <c r="AU41" s="14">
        <v>17</v>
      </c>
      <c r="AY41" s="13"/>
      <c r="AZ41" s="13"/>
      <c r="BA41" s="13"/>
      <c r="BB41" s="13"/>
      <c r="BD41" s="13"/>
      <c r="BE41" s="13"/>
      <c r="BF41" s="13"/>
      <c r="BH41" s="13"/>
      <c r="BK41" s="13"/>
      <c r="BM41" s="13"/>
      <c r="BO41" s="13"/>
      <c r="BQ41" s="13"/>
      <c r="BS41" s="13"/>
      <c r="BT41" s="14">
        <v>33</v>
      </c>
      <c r="BU41" s="13"/>
      <c r="BV41" s="13"/>
      <c r="BW41" s="13"/>
      <c r="BX41" s="13"/>
      <c r="BY41"/>
      <c r="BZ41"/>
      <c r="CA41"/>
      <c r="CB41"/>
      <c r="CC41"/>
      <c r="CD41"/>
      <c r="CE41"/>
      <c r="CF41"/>
      <c r="CG41"/>
    </row>
    <row r="42" spans="1:85" x14ac:dyDescent="0.25">
      <c r="A42" s="8" t="s">
        <v>279</v>
      </c>
      <c r="B42" s="9">
        <v>1</v>
      </c>
      <c r="C42" s="10">
        <v>43698</v>
      </c>
      <c r="D42" s="8" t="s">
        <v>280</v>
      </c>
      <c r="E42" s="8" t="s">
        <v>281</v>
      </c>
      <c r="F42" s="8">
        <v>9491</v>
      </c>
      <c r="G42" s="11">
        <v>-19.193293499999999</v>
      </c>
      <c r="H42" s="11">
        <v>146.58967269999999</v>
      </c>
      <c r="I42" s="12">
        <v>14.069238</v>
      </c>
      <c r="J42" s="9">
        <f t="shared" si="5"/>
        <v>7</v>
      </c>
      <c r="K42" s="33">
        <f t="shared" si="6"/>
        <v>0.49753938344066678</v>
      </c>
      <c r="L42" s="31">
        <f t="shared" si="7"/>
        <v>0</v>
      </c>
      <c r="M42" s="31">
        <f t="shared" si="8"/>
        <v>1.7543859649122806E-2</v>
      </c>
      <c r="N42" s="29">
        <f t="shared" si="9"/>
        <v>1.7543859649122806E-2</v>
      </c>
      <c r="O42" s="14">
        <v>24</v>
      </c>
      <c r="P42" s="13"/>
      <c r="Q42" s="14">
        <v>1</v>
      </c>
      <c r="R42" s="13"/>
      <c r="S42" s="13"/>
      <c r="T42" s="13"/>
      <c r="U42" s="8"/>
      <c r="V42" s="8"/>
      <c r="W42" s="13"/>
      <c r="X42" s="8"/>
      <c r="Y42" s="8"/>
      <c r="Z42" s="8"/>
      <c r="AA42" s="13"/>
      <c r="AB42" s="13"/>
      <c r="AC42" s="8"/>
      <c r="AD42" s="13"/>
      <c r="AE42" s="13"/>
      <c r="AF42" s="13"/>
      <c r="AG42" s="14">
        <v>2</v>
      </c>
      <c r="AH42" s="13"/>
      <c r="AI42" s="13"/>
      <c r="AJ42" s="8"/>
      <c r="AK42" s="13"/>
      <c r="AL42" s="13"/>
      <c r="AM42" s="13"/>
      <c r="AN42" s="8"/>
      <c r="AO42" s="14">
        <v>63</v>
      </c>
      <c r="AP42" s="13"/>
      <c r="AQ42" s="14">
        <v>1</v>
      </c>
      <c r="AR42" s="8"/>
      <c r="AS42" s="14">
        <v>6</v>
      </c>
      <c r="AT42" s="13"/>
      <c r="AU42" s="14">
        <v>71</v>
      </c>
      <c r="AV42" s="8"/>
      <c r="AW42" s="8"/>
      <c r="AX42" s="8"/>
      <c r="AY42" s="13"/>
      <c r="AZ42" s="13"/>
      <c r="BA42" s="13"/>
      <c r="BB42" s="13"/>
      <c r="BC42" s="8"/>
      <c r="BD42" s="13"/>
      <c r="BE42" s="13"/>
      <c r="BF42" s="13"/>
      <c r="BG42" s="8"/>
      <c r="BH42" s="13"/>
      <c r="BI42" s="8"/>
      <c r="BJ42" s="8"/>
      <c r="BK42" s="13"/>
      <c r="BL42" s="8"/>
      <c r="BM42" s="13"/>
      <c r="BN42" s="8"/>
      <c r="BO42" s="13"/>
      <c r="BP42" s="8"/>
      <c r="BQ42" s="13"/>
      <c r="BR42" s="8"/>
      <c r="BS42" s="13"/>
      <c r="BT42" s="14">
        <v>3</v>
      </c>
      <c r="BU42" s="13"/>
      <c r="BV42" s="13"/>
      <c r="BW42" s="13"/>
      <c r="BX42" s="13"/>
    </row>
    <row r="43" spans="1:85" s="8" customFormat="1" x14ac:dyDescent="0.25">
      <c r="A43" t="s">
        <v>292</v>
      </c>
      <c r="B43" s="18">
        <v>1</v>
      </c>
      <c r="C43" s="19">
        <v>43698</v>
      </c>
      <c r="D43" t="s">
        <v>293</v>
      </c>
      <c r="E43" t="s">
        <v>294</v>
      </c>
      <c r="F43">
        <v>12416</v>
      </c>
      <c r="G43" s="25">
        <v>-19.392504899999999</v>
      </c>
      <c r="H43" s="25">
        <v>146.9939737</v>
      </c>
      <c r="I43" s="26">
        <v>12.852186</v>
      </c>
      <c r="J43" s="18">
        <f t="shared" si="5"/>
        <v>7</v>
      </c>
      <c r="K43" s="34">
        <f t="shared" si="6"/>
        <v>0.54465442688115473</v>
      </c>
      <c r="L43" s="32">
        <f t="shared" si="7"/>
        <v>0</v>
      </c>
      <c r="M43" s="32">
        <f t="shared" si="8"/>
        <v>1.2448132780082987E-2</v>
      </c>
      <c r="N43" s="30">
        <f t="shared" si="9"/>
        <v>1.2448132780082987E-2</v>
      </c>
      <c r="O43" s="24">
        <v>6</v>
      </c>
      <c r="P43" s="23"/>
      <c r="Q43" s="24">
        <v>7</v>
      </c>
      <c r="R43" s="23"/>
      <c r="S43" s="23"/>
      <c r="T43" s="23"/>
      <c r="U43"/>
      <c r="V43"/>
      <c r="W43" s="23"/>
      <c r="X43"/>
      <c r="Y43"/>
      <c r="Z43"/>
      <c r="AA43" s="23"/>
      <c r="AB43" s="23"/>
      <c r="AC43"/>
      <c r="AD43" s="23"/>
      <c r="AE43" s="23"/>
      <c r="AF43" s="23"/>
      <c r="AG43" s="23"/>
      <c r="AH43" s="23"/>
      <c r="AI43" s="23"/>
      <c r="AJ43"/>
      <c r="AK43" s="24">
        <v>3</v>
      </c>
      <c r="AL43" s="23"/>
      <c r="AM43" s="23"/>
      <c r="AN43"/>
      <c r="AO43" s="24">
        <v>122</v>
      </c>
      <c r="AP43" s="23"/>
      <c r="AQ43" s="24">
        <v>8</v>
      </c>
      <c r="AR43"/>
      <c r="AS43" s="24">
        <v>5</v>
      </c>
      <c r="AT43" s="23"/>
      <c r="AU43" s="24">
        <v>87</v>
      </c>
      <c r="AV43"/>
      <c r="AW43"/>
      <c r="AX43"/>
      <c r="AY43" s="23"/>
      <c r="AZ43" s="23"/>
      <c r="BA43" s="23"/>
      <c r="BB43" s="23"/>
      <c r="BC43"/>
      <c r="BD43" s="23"/>
      <c r="BE43" s="23"/>
      <c r="BF43" s="23"/>
      <c r="BG43"/>
      <c r="BH43" s="23"/>
      <c r="BI43"/>
      <c r="BJ43"/>
      <c r="BK43" s="23"/>
      <c r="BL43"/>
      <c r="BM43" s="23"/>
      <c r="BN43"/>
      <c r="BO43" s="23"/>
      <c r="BP43"/>
      <c r="BQ43" s="23"/>
      <c r="BR43"/>
      <c r="BS43" s="23"/>
      <c r="BT43" s="23"/>
      <c r="BU43" s="24">
        <v>3</v>
      </c>
      <c r="BV43" s="23"/>
      <c r="BW43" s="23"/>
      <c r="BX43" s="23"/>
      <c r="BY43"/>
      <c r="BZ43"/>
      <c r="CA43"/>
      <c r="CB43"/>
      <c r="CC43"/>
      <c r="CD43"/>
      <c r="CE43"/>
      <c r="CF43"/>
      <c r="CG43"/>
    </row>
    <row r="44" spans="1:85" x14ac:dyDescent="0.25">
      <c r="A44" t="s">
        <v>75</v>
      </c>
      <c r="B44" s="18">
        <v>2</v>
      </c>
      <c r="C44" s="19">
        <v>44818</v>
      </c>
      <c r="D44" t="s">
        <v>77</v>
      </c>
      <c r="E44" t="s">
        <v>76</v>
      </c>
      <c r="F44">
        <v>15154</v>
      </c>
      <c r="G44" s="25">
        <v>-19.1371678</v>
      </c>
      <c r="H44" s="25">
        <v>146.48206010000001</v>
      </c>
      <c r="I44" s="26">
        <v>11.308842</v>
      </c>
      <c r="J44" s="18">
        <f t="shared" si="5"/>
        <v>9</v>
      </c>
      <c r="K44" s="34">
        <f t="shared" si="6"/>
        <v>0.79583745179214638</v>
      </c>
      <c r="L44" s="32">
        <f t="shared" si="7"/>
        <v>0</v>
      </c>
      <c r="M44" s="32">
        <f t="shared" si="8"/>
        <v>0</v>
      </c>
      <c r="N44" s="30">
        <f t="shared" si="9"/>
        <v>0</v>
      </c>
      <c r="O44" s="23"/>
      <c r="P44" s="23"/>
      <c r="Q44" s="24">
        <v>7</v>
      </c>
      <c r="R44" s="23"/>
      <c r="S44" s="23"/>
      <c r="T44" s="24">
        <v>1</v>
      </c>
      <c r="W44" s="24">
        <v>2</v>
      </c>
      <c r="AA44" s="24">
        <v>1</v>
      </c>
      <c r="AB44" s="23"/>
      <c r="AD44" s="23"/>
      <c r="AE44" s="23"/>
      <c r="AF44" s="23"/>
      <c r="AG44" s="23"/>
      <c r="AH44" s="24">
        <v>5</v>
      </c>
      <c r="AI44" s="23"/>
      <c r="AK44" s="23"/>
      <c r="AL44" s="23"/>
      <c r="AM44" s="23"/>
      <c r="AO44" s="24">
        <v>57</v>
      </c>
      <c r="AP44" s="24">
        <v>1</v>
      </c>
      <c r="AQ44" s="23"/>
      <c r="AS44" s="23"/>
      <c r="AT44" s="24">
        <v>1</v>
      </c>
      <c r="AU44" s="24">
        <v>35</v>
      </c>
      <c r="AY44" s="23"/>
      <c r="AZ44" s="23"/>
      <c r="BA44" s="23"/>
      <c r="BB44" s="23"/>
      <c r="BD44" s="23"/>
      <c r="BE44" s="23"/>
      <c r="BF44" s="23"/>
      <c r="BH44" s="23"/>
      <c r="BK44" s="23"/>
      <c r="BM44" s="23"/>
      <c r="BO44" s="23"/>
      <c r="BQ44" s="23"/>
      <c r="BS44" s="23"/>
      <c r="BT44" s="23"/>
      <c r="BU44" s="23"/>
      <c r="BV44" s="23"/>
      <c r="BW44" s="23"/>
      <c r="BX44" s="23"/>
    </row>
    <row r="45" spans="1:85" x14ac:dyDescent="0.25">
      <c r="A45" t="s">
        <v>75</v>
      </c>
      <c r="B45" s="18">
        <v>3</v>
      </c>
      <c r="C45" s="19">
        <v>45903</v>
      </c>
      <c r="D45" t="s">
        <v>77</v>
      </c>
      <c r="E45" t="s">
        <v>76</v>
      </c>
      <c r="F45">
        <v>15154</v>
      </c>
      <c r="G45" s="20">
        <v>-19.137170000000001</v>
      </c>
      <c r="H45" s="20">
        <v>146.48205999999999</v>
      </c>
      <c r="I45" s="21">
        <v>11.308842</v>
      </c>
      <c r="J45" s="22">
        <f t="shared" si="5"/>
        <v>12</v>
      </c>
      <c r="K45" s="34">
        <f t="shared" si="6"/>
        <v>1.0611166023895284</v>
      </c>
      <c r="L45" s="32">
        <f t="shared" si="7"/>
        <v>0</v>
      </c>
      <c r="M45" s="32">
        <f t="shared" si="8"/>
        <v>0</v>
      </c>
      <c r="N45" s="30">
        <f t="shared" si="9"/>
        <v>0</v>
      </c>
      <c r="O45" s="23"/>
      <c r="P45" s="23"/>
      <c r="Q45" s="24">
        <v>2</v>
      </c>
      <c r="R45" s="23"/>
      <c r="S45" s="24">
        <v>1</v>
      </c>
      <c r="T45" s="24">
        <v>3</v>
      </c>
      <c r="W45" s="23"/>
      <c r="AA45" s="24">
        <v>1</v>
      </c>
      <c r="AB45" s="23"/>
      <c r="AD45" s="23"/>
      <c r="AE45" s="23"/>
      <c r="AF45" s="23"/>
      <c r="AG45" s="23"/>
      <c r="AH45" s="24">
        <v>3</v>
      </c>
      <c r="AI45" s="23"/>
      <c r="AK45" s="23"/>
      <c r="AL45" s="24">
        <v>1</v>
      </c>
      <c r="AM45" s="24">
        <v>1</v>
      </c>
      <c r="AO45" s="24">
        <v>77</v>
      </c>
      <c r="AP45" s="24">
        <v>10</v>
      </c>
      <c r="AQ45" s="23"/>
      <c r="AS45" s="24">
        <v>15</v>
      </c>
      <c r="AT45" s="24">
        <v>2</v>
      </c>
      <c r="AU45" s="24">
        <v>62</v>
      </c>
      <c r="AY45" s="23"/>
      <c r="AZ45" s="23"/>
      <c r="BA45" s="23"/>
      <c r="BB45" s="23"/>
      <c r="BD45" s="23"/>
      <c r="BE45" s="23"/>
      <c r="BF45" s="23"/>
      <c r="BH45" s="23"/>
      <c r="BK45" s="23"/>
      <c r="BM45" s="23"/>
      <c r="BO45" s="23"/>
      <c r="BQ45" s="23"/>
      <c r="BS45" s="23"/>
      <c r="BT45" s="23"/>
      <c r="BU45" s="23"/>
      <c r="BV45" s="23"/>
      <c r="BW45" s="23"/>
      <c r="BX45" s="23"/>
    </row>
    <row r="46" spans="1:85" x14ac:dyDescent="0.25">
      <c r="A46" t="s">
        <v>75</v>
      </c>
      <c r="B46" s="18">
        <v>1</v>
      </c>
      <c r="C46" s="19">
        <v>43696</v>
      </c>
      <c r="D46" t="s">
        <v>282</v>
      </c>
      <c r="E46" t="s">
        <v>76</v>
      </c>
      <c r="F46">
        <v>15154</v>
      </c>
      <c r="G46" s="25">
        <v>-19.1371678</v>
      </c>
      <c r="H46" s="25">
        <v>146.48206010000001</v>
      </c>
      <c r="I46" s="26">
        <v>11.308842</v>
      </c>
      <c r="J46" s="18">
        <f t="shared" si="5"/>
        <v>12</v>
      </c>
      <c r="K46" s="34">
        <f t="shared" si="6"/>
        <v>1.0611166023895284</v>
      </c>
      <c r="L46" s="32">
        <f t="shared" si="7"/>
        <v>0</v>
      </c>
      <c r="M46" s="32">
        <f t="shared" si="8"/>
        <v>5.0000000000000001E-3</v>
      </c>
      <c r="N46" s="30">
        <f t="shared" si="9"/>
        <v>5.0000000000000001E-3</v>
      </c>
      <c r="O46" s="24">
        <v>8</v>
      </c>
      <c r="P46" s="23"/>
      <c r="Q46" s="24">
        <v>6</v>
      </c>
      <c r="R46" s="23"/>
      <c r="S46" s="23"/>
      <c r="T46" s="24">
        <v>14</v>
      </c>
      <c r="W46" s="24">
        <v>9</v>
      </c>
      <c r="AA46" s="24">
        <v>3</v>
      </c>
      <c r="AB46" s="24">
        <v>1</v>
      </c>
      <c r="AD46" s="23"/>
      <c r="AE46" s="23"/>
      <c r="AF46" s="23"/>
      <c r="AG46" s="23"/>
      <c r="AH46" s="24">
        <v>13</v>
      </c>
      <c r="AI46" s="24">
        <v>1</v>
      </c>
      <c r="AK46" s="23"/>
      <c r="AL46" s="23"/>
      <c r="AM46" s="23"/>
      <c r="AO46" s="24">
        <v>98</v>
      </c>
      <c r="AP46" s="23"/>
      <c r="AQ46" s="23"/>
      <c r="AS46" s="24">
        <v>3</v>
      </c>
      <c r="AT46" s="23"/>
      <c r="AU46" s="24">
        <v>42</v>
      </c>
      <c r="AY46" s="23"/>
      <c r="AZ46" s="23"/>
      <c r="BA46" s="23"/>
      <c r="BB46" s="24">
        <v>1</v>
      </c>
      <c r="BD46" s="23"/>
      <c r="BE46" s="23"/>
      <c r="BF46" s="23"/>
      <c r="BH46" s="23"/>
      <c r="BK46" s="23"/>
      <c r="BM46" s="23"/>
      <c r="BO46" s="23"/>
      <c r="BQ46" s="23"/>
      <c r="BS46" s="23"/>
      <c r="BT46" s="23"/>
      <c r="BU46" s="24">
        <v>1</v>
      </c>
      <c r="BV46" s="23"/>
      <c r="BW46" s="23"/>
      <c r="BX46" s="23"/>
    </row>
    <row r="47" spans="1:85" s="8" customFormat="1" x14ac:dyDescent="0.25">
      <c r="A47" t="s">
        <v>101</v>
      </c>
      <c r="B47" s="18">
        <v>1</v>
      </c>
      <c r="C47" s="19">
        <v>43697</v>
      </c>
      <c r="D47" t="s">
        <v>102</v>
      </c>
      <c r="E47" t="s">
        <v>95</v>
      </c>
      <c r="F47">
        <v>12393</v>
      </c>
      <c r="G47" s="25">
        <v>-19.356167800000001</v>
      </c>
      <c r="H47" s="25">
        <v>146.61024019999999</v>
      </c>
      <c r="I47" s="26">
        <v>10.137154000000001</v>
      </c>
      <c r="J47" s="18">
        <f t="shared" si="5"/>
        <v>6</v>
      </c>
      <c r="K47" s="34">
        <f t="shared" si="6"/>
        <v>0.59188210024233623</v>
      </c>
      <c r="L47" s="32">
        <f t="shared" si="7"/>
        <v>0</v>
      </c>
      <c r="M47" s="32">
        <f t="shared" si="8"/>
        <v>5.0847457627118647E-2</v>
      </c>
      <c r="N47" s="30">
        <f t="shared" si="9"/>
        <v>5.0847457627118647E-2</v>
      </c>
      <c r="O47" s="24">
        <v>22</v>
      </c>
      <c r="P47" s="23"/>
      <c r="Q47" s="24">
        <v>2</v>
      </c>
      <c r="R47" s="23"/>
      <c r="S47" s="23"/>
      <c r="T47" s="23"/>
      <c r="U47"/>
      <c r="V47"/>
      <c r="W47" s="24">
        <v>18</v>
      </c>
      <c r="X47"/>
      <c r="Y47"/>
      <c r="Z47"/>
      <c r="AA47" s="23"/>
      <c r="AB47" s="23"/>
      <c r="AC47"/>
      <c r="AD47" s="23"/>
      <c r="AE47" s="23"/>
      <c r="AF47" s="23"/>
      <c r="AG47" s="23"/>
      <c r="AH47" s="23"/>
      <c r="AI47" s="23"/>
      <c r="AJ47"/>
      <c r="AK47" s="23"/>
      <c r="AL47" s="23"/>
      <c r="AM47" s="23"/>
      <c r="AN47"/>
      <c r="AO47" s="23"/>
      <c r="AP47" s="23"/>
      <c r="AQ47" s="23"/>
      <c r="AR47"/>
      <c r="AS47" s="24">
        <v>37</v>
      </c>
      <c r="AT47" s="23"/>
      <c r="AU47" s="24">
        <v>140</v>
      </c>
      <c r="AV47"/>
      <c r="AW47"/>
      <c r="AX47"/>
      <c r="AY47" s="23"/>
      <c r="AZ47" s="23"/>
      <c r="BA47" s="23"/>
      <c r="BB47" s="24">
        <v>5</v>
      </c>
      <c r="BC47"/>
      <c r="BD47" s="23"/>
      <c r="BE47" s="23"/>
      <c r="BF47" s="23"/>
      <c r="BG47"/>
      <c r="BH47" s="23"/>
      <c r="BI47"/>
      <c r="BJ47"/>
      <c r="BK47" s="23"/>
      <c r="BL47"/>
      <c r="BM47" s="23"/>
      <c r="BN47"/>
      <c r="BO47" s="23"/>
      <c r="BP47"/>
      <c r="BQ47" s="23"/>
      <c r="BR47"/>
      <c r="BS47" s="23"/>
      <c r="BT47" s="24">
        <v>1</v>
      </c>
      <c r="BU47" s="24">
        <v>11</v>
      </c>
      <c r="BV47" s="23"/>
      <c r="BW47" s="23"/>
      <c r="BX47" s="23"/>
      <c r="BY47"/>
      <c r="BZ47"/>
      <c r="CA47"/>
      <c r="CB47"/>
      <c r="CC47"/>
      <c r="CD47"/>
      <c r="CE47"/>
      <c r="CF47"/>
      <c r="CG47"/>
    </row>
    <row r="48" spans="1:85" x14ac:dyDescent="0.25">
      <c r="A48" t="s">
        <v>101</v>
      </c>
      <c r="B48" s="18">
        <v>2</v>
      </c>
      <c r="C48" s="19">
        <v>44818</v>
      </c>
      <c r="D48" t="s">
        <v>102</v>
      </c>
      <c r="E48" t="s">
        <v>95</v>
      </c>
      <c r="F48">
        <v>12393</v>
      </c>
      <c r="G48" s="25">
        <v>-19.354728000000001</v>
      </c>
      <c r="H48" s="25">
        <v>146.611096</v>
      </c>
      <c r="I48" s="26">
        <v>10.137154000000001</v>
      </c>
      <c r="J48" s="18">
        <f t="shared" si="5"/>
        <v>6</v>
      </c>
      <c r="K48" s="34">
        <f t="shared" si="6"/>
        <v>0.59188210024233623</v>
      </c>
      <c r="L48" s="32">
        <f t="shared" si="7"/>
        <v>0</v>
      </c>
      <c r="M48" s="32">
        <f t="shared" si="8"/>
        <v>9.3103448275862075E-2</v>
      </c>
      <c r="N48" s="30">
        <f t="shared" si="9"/>
        <v>9.3103448275862075E-2</v>
      </c>
      <c r="O48" s="24">
        <v>46</v>
      </c>
      <c r="P48" s="23"/>
      <c r="Q48" s="23"/>
      <c r="R48" s="23"/>
      <c r="S48" s="23"/>
      <c r="T48" s="23"/>
      <c r="W48" s="24">
        <v>6</v>
      </c>
      <c r="AA48" s="23"/>
      <c r="AB48" s="23"/>
      <c r="AD48" s="23"/>
      <c r="AE48" s="23"/>
      <c r="AF48" s="23"/>
      <c r="AG48" s="23"/>
      <c r="AH48" s="23"/>
      <c r="AI48" s="23"/>
      <c r="AK48" s="23"/>
      <c r="AL48" s="23"/>
      <c r="AM48" s="23"/>
      <c r="AO48" s="23"/>
      <c r="AP48" s="23"/>
      <c r="AQ48" s="23"/>
      <c r="AS48" s="24">
        <v>51</v>
      </c>
      <c r="AT48" s="23"/>
      <c r="AU48" s="24">
        <v>158</v>
      </c>
      <c r="AY48" s="23"/>
      <c r="AZ48" s="23"/>
      <c r="BA48" s="24">
        <v>1</v>
      </c>
      <c r="BB48" s="24">
        <v>1</v>
      </c>
      <c r="BD48" s="23"/>
      <c r="BE48" s="23"/>
      <c r="BF48" s="23"/>
      <c r="BH48" s="23"/>
      <c r="BK48" s="23"/>
      <c r="BM48" s="23"/>
      <c r="BO48" s="23"/>
      <c r="BQ48" s="23"/>
      <c r="BS48" s="23"/>
      <c r="BT48" s="23"/>
      <c r="BU48" s="24">
        <v>26</v>
      </c>
      <c r="BV48" s="24">
        <v>1</v>
      </c>
      <c r="BW48" s="23"/>
      <c r="BX48" s="23"/>
    </row>
    <row r="49" spans="1:85" x14ac:dyDescent="0.25">
      <c r="A49" t="s">
        <v>101</v>
      </c>
      <c r="B49" s="18">
        <v>3</v>
      </c>
      <c r="C49" s="19">
        <v>45904</v>
      </c>
      <c r="D49" t="s">
        <v>102</v>
      </c>
      <c r="E49" t="s">
        <v>95</v>
      </c>
      <c r="F49">
        <v>12393</v>
      </c>
      <c r="G49" s="20">
        <v>-19.35473</v>
      </c>
      <c r="H49" s="20">
        <v>146.61109999999999</v>
      </c>
      <c r="I49" s="21">
        <v>10.137154000000001</v>
      </c>
      <c r="J49" s="22">
        <f t="shared" si="5"/>
        <v>5</v>
      </c>
      <c r="K49" s="34">
        <f t="shared" si="6"/>
        <v>0.49323508353528017</v>
      </c>
      <c r="L49" s="32">
        <f t="shared" si="7"/>
        <v>0</v>
      </c>
      <c r="M49" s="32">
        <f t="shared" si="8"/>
        <v>0</v>
      </c>
      <c r="N49" s="30">
        <f t="shared" si="9"/>
        <v>0</v>
      </c>
      <c r="O49" s="24">
        <v>9</v>
      </c>
      <c r="P49" s="23"/>
      <c r="Q49" s="23"/>
      <c r="R49" s="23"/>
      <c r="S49" s="23"/>
      <c r="T49" s="23"/>
      <c r="W49" s="24">
        <v>40</v>
      </c>
      <c r="AA49" s="23"/>
      <c r="AB49" s="23"/>
      <c r="AD49" s="23"/>
      <c r="AE49" s="23"/>
      <c r="AF49" s="23"/>
      <c r="AG49" s="23"/>
      <c r="AH49" s="23"/>
      <c r="AI49" s="23"/>
      <c r="AK49" s="23"/>
      <c r="AL49" s="23"/>
      <c r="AM49" s="23"/>
      <c r="AO49" s="23"/>
      <c r="AP49" s="23"/>
      <c r="AQ49" s="23"/>
      <c r="AS49" s="24">
        <v>15</v>
      </c>
      <c r="AT49" s="23"/>
      <c r="AU49" s="24">
        <v>221</v>
      </c>
      <c r="AY49" s="23"/>
      <c r="AZ49" s="23"/>
      <c r="BA49" s="23"/>
      <c r="BB49" s="24">
        <v>1</v>
      </c>
      <c r="BD49" s="23"/>
      <c r="BE49" s="23"/>
      <c r="BF49" s="23"/>
      <c r="BH49" s="23"/>
      <c r="BK49" s="23"/>
      <c r="BM49" s="23"/>
      <c r="BO49" s="23"/>
      <c r="BQ49" s="23"/>
      <c r="BS49" s="23"/>
      <c r="BT49" s="23"/>
      <c r="BU49" s="23"/>
      <c r="BV49" s="23"/>
      <c r="BW49" s="23"/>
      <c r="BX49" s="23"/>
    </row>
    <row r="50" spans="1:85" x14ac:dyDescent="0.25">
      <c r="A50" t="s">
        <v>300</v>
      </c>
      <c r="B50" s="18">
        <v>3</v>
      </c>
      <c r="C50" s="19">
        <v>45908</v>
      </c>
      <c r="D50" s="19" t="s">
        <v>102</v>
      </c>
      <c r="E50" s="19" t="s">
        <v>301</v>
      </c>
      <c r="F50">
        <v>15489</v>
      </c>
      <c r="G50" s="20">
        <v>-19.321805999999999</v>
      </c>
      <c r="H50" s="20">
        <v>146.698082</v>
      </c>
      <c r="I50" s="21">
        <v>13.075869000000001</v>
      </c>
      <c r="J50" s="22">
        <f t="shared" si="5"/>
        <v>6</v>
      </c>
      <c r="K50" s="34">
        <f t="shared" si="6"/>
        <v>0.45886051626855545</v>
      </c>
      <c r="L50" s="32">
        <f t="shared" si="7"/>
        <v>0</v>
      </c>
      <c r="M50" s="32">
        <f t="shared" si="8"/>
        <v>0.743859649122807</v>
      </c>
      <c r="N50" s="30">
        <f t="shared" si="9"/>
        <v>0.743859649122807</v>
      </c>
      <c r="O50" s="24">
        <v>9</v>
      </c>
      <c r="P50" s="23"/>
      <c r="Q50" s="24">
        <v>1</v>
      </c>
      <c r="R50" s="23"/>
      <c r="S50" s="23"/>
      <c r="T50" s="23"/>
      <c r="W50" s="23"/>
      <c r="AA50" s="23"/>
      <c r="AB50" s="23"/>
      <c r="AD50" s="23"/>
      <c r="AE50" s="23"/>
      <c r="AF50" s="23"/>
      <c r="AG50" s="23"/>
      <c r="AH50" s="23"/>
      <c r="AI50" s="23"/>
      <c r="AK50" s="23"/>
      <c r="AL50" s="23"/>
      <c r="AM50" s="23"/>
      <c r="AO50" s="24">
        <v>14</v>
      </c>
      <c r="AP50" s="23"/>
      <c r="AQ50" s="23"/>
      <c r="AS50" s="24">
        <v>21</v>
      </c>
      <c r="AT50" s="23"/>
      <c r="AU50" s="24">
        <v>27</v>
      </c>
      <c r="AY50" s="23"/>
      <c r="AZ50" s="23"/>
      <c r="BA50" s="23"/>
      <c r="BB50" s="24">
        <v>1</v>
      </c>
      <c r="BD50" s="23"/>
      <c r="BE50" s="23"/>
      <c r="BF50" s="23"/>
      <c r="BH50" s="23"/>
      <c r="BK50" s="23"/>
      <c r="BM50" s="23"/>
      <c r="BO50" s="23"/>
      <c r="BQ50" s="23"/>
      <c r="BS50" s="23"/>
      <c r="BT50" s="24">
        <v>211</v>
      </c>
      <c r="BU50" s="23"/>
      <c r="BV50" s="23"/>
      <c r="BW50" s="23"/>
      <c r="BX50" s="24">
        <v>1</v>
      </c>
    </row>
    <row r="51" spans="1:85" s="8" customFormat="1" x14ac:dyDescent="0.25">
      <c r="A51" s="8" t="s">
        <v>96</v>
      </c>
      <c r="B51" s="9">
        <v>2</v>
      </c>
      <c r="C51" s="10">
        <v>44820</v>
      </c>
      <c r="D51" s="8" t="s">
        <v>97</v>
      </c>
      <c r="E51" s="8" t="s">
        <v>288</v>
      </c>
      <c r="F51" s="8">
        <v>13715</v>
      </c>
      <c r="G51" s="11">
        <v>-19.287011</v>
      </c>
      <c r="H51" s="11">
        <v>146.59877</v>
      </c>
      <c r="I51" s="12">
        <v>12.636837999999999</v>
      </c>
      <c r="J51" s="9">
        <f t="shared" si="5"/>
        <v>5</v>
      </c>
      <c r="K51" s="33">
        <f t="shared" si="6"/>
        <v>0.39566860000895798</v>
      </c>
      <c r="L51" s="31">
        <f t="shared" si="7"/>
        <v>0</v>
      </c>
      <c r="M51" s="31">
        <f t="shared" si="8"/>
        <v>0.44495412844036697</v>
      </c>
      <c r="N51" s="29">
        <f t="shared" si="9"/>
        <v>0.44495412844036697</v>
      </c>
      <c r="O51" s="13"/>
      <c r="P51" s="13"/>
      <c r="Q51" s="14">
        <v>4</v>
      </c>
      <c r="R51" s="13"/>
      <c r="S51" s="13"/>
      <c r="T51" s="13"/>
      <c r="W51" s="14">
        <v>7</v>
      </c>
      <c r="AA51" s="13"/>
      <c r="AB51" s="13"/>
      <c r="AD51" s="13"/>
      <c r="AE51" s="13"/>
      <c r="AF51" s="13"/>
      <c r="AG51" s="13"/>
      <c r="AH51" s="13"/>
      <c r="AI51" s="13"/>
      <c r="AK51" s="13"/>
      <c r="AL51" s="13"/>
      <c r="AM51" s="13"/>
      <c r="AO51" s="14">
        <v>88</v>
      </c>
      <c r="AP51" s="13"/>
      <c r="AQ51" s="13"/>
      <c r="AS51" s="14">
        <v>4</v>
      </c>
      <c r="AT51" s="13"/>
      <c r="AU51" s="14">
        <v>18</v>
      </c>
      <c r="AY51" s="13"/>
      <c r="AZ51" s="13"/>
      <c r="BA51" s="13"/>
      <c r="BB51" s="13"/>
      <c r="BD51" s="13"/>
      <c r="BE51" s="13"/>
      <c r="BF51" s="13"/>
      <c r="BH51" s="13"/>
      <c r="BK51" s="13"/>
      <c r="BM51" s="13"/>
      <c r="BO51" s="13"/>
      <c r="BQ51" s="13"/>
      <c r="BS51" s="13"/>
      <c r="BT51" s="14">
        <v>69</v>
      </c>
      <c r="BU51" s="14">
        <v>21</v>
      </c>
      <c r="BV51" s="14">
        <v>2</v>
      </c>
      <c r="BW51" s="13"/>
      <c r="BX51" s="14">
        <v>5</v>
      </c>
      <c r="BY51"/>
      <c r="BZ51"/>
      <c r="CA51"/>
      <c r="CB51"/>
      <c r="CC51"/>
      <c r="CD51"/>
      <c r="CE51"/>
      <c r="CF51"/>
      <c r="CG51"/>
    </row>
    <row r="52" spans="1:85" s="8" customFormat="1" x14ac:dyDescent="0.25">
      <c r="A52" s="8" t="s">
        <v>96</v>
      </c>
      <c r="B52" s="9">
        <v>3</v>
      </c>
      <c r="C52" s="10">
        <v>45904</v>
      </c>
      <c r="D52" s="8" t="s">
        <v>97</v>
      </c>
      <c r="E52" s="8" t="s">
        <v>288</v>
      </c>
      <c r="F52" s="8">
        <v>13715</v>
      </c>
      <c r="G52" s="15">
        <v>-19.286193999999998</v>
      </c>
      <c r="H52" s="15">
        <v>146.59965199999999</v>
      </c>
      <c r="I52" s="12">
        <v>12.636837999999999</v>
      </c>
      <c r="J52" s="17">
        <f t="shared" si="5"/>
        <v>5</v>
      </c>
      <c r="K52" s="33">
        <f t="shared" si="6"/>
        <v>0.39566860000895798</v>
      </c>
      <c r="L52" s="31">
        <f t="shared" si="7"/>
        <v>0</v>
      </c>
      <c r="M52" s="31">
        <f t="shared" si="8"/>
        <v>0.24175824175824176</v>
      </c>
      <c r="N52" s="29">
        <f t="shared" si="9"/>
        <v>0.24175824175824176</v>
      </c>
      <c r="O52" s="13"/>
      <c r="P52" s="13"/>
      <c r="Q52" s="14">
        <v>3</v>
      </c>
      <c r="R52" s="13"/>
      <c r="S52" s="13"/>
      <c r="T52" s="13"/>
      <c r="W52" s="14">
        <v>16</v>
      </c>
      <c r="AA52" s="13"/>
      <c r="AB52" s="13"/>
      <c r="AD52" s="13"/>
      <c r="AE52" s="13"/>
      <c r="AF52" s="13"/>
      <c r="AG52" s="13"/>
      <c r="AH52" s="13"/>
      <c r="AI52" s="13"/>
      <c r="AK52" s="13"/>
      <c r="AL52" s="13"/>
      <c r="AM52" s="13"/>
      <c r="AO52" s="14">
        <v>46</v>
      </c>
      <c r="AP52" s="13"/>
      <c r="AQ52" s="13"/>
      <c r="AS52" s="14">
        <v>1</v>
      </c>
      <c r="AT52" s="13"/>
      <c r="AU52" s="14">
        <v>3</v>
      </c>
      <c r="AY52" s="13"/>
      <c r="AZ52" s="13"/>
      <c r="BA52" s="13"/>
      <c r="BB52" s="13"/>
      <c r="BD52" s="13"/>
      <c r="BE52" s="13"/>
      <c r="BF52" s="13"/>
      <c r="BH52" s="13"/>
      <c r="BK52" s="13"/>
      <c r="BM52" s="13"/>
      <c r="BO52" s="13"/>
      <c r="BQ52" s="13"/>
      <c r="BS52" s="13"/>
      <c r="BT52" s="14">
        <v>6</v>
      </c>
      <c r="BU52" s="13"/>
      <c r="BV52" s="14">
        <v>16</v>
      </c>
      <c r="BW52" s="13"/>
      <c r="BX52" s="13"/>
      <c r="BY52"/>
      <c r="BZ52"/>
      <c r="CA52"/>
      <c r="CB52"/>
      <c r="CC52"/>
      <c r="CD52"/>
      <c r="CE52"/>
      <c r="CF52"/>
      <c r="CG52"/>
    </row>
    <row r="53" spans="1:85" s="8" customFormat="1" x14ac:dyDescent="0.25">
      <c r="A53" s="8" t="s">
        <v>86</v>
      </c>
      <c r="B53" s="9">
        <v>1</v>
      </c>
      <c r="C53" s="10">
        <v>43699</v>
      </c>
      <c r="D53" s="8" t="s">
        <v>87</v>
      </c>
      <c r="E53" s="8" t="s">
        <v>88</v>
      </c>
      <c r="F53" s="8">
        <v>9157</v>
      </c>
      <c r="G53" s="11">
        <v>-18.983576299999999</v>
      </c>
      <c r="H53" s="11">
        <v>146.2364761</v>
      </c>
      <c r="I53" s="12">
        <v>6.6284239999999999</v>
      </c>
      <c r="J53" s="9">
        <f t="shared" si="5"/>
        <v>6</v>
      </c>
      <c r="K53" s="33">
        <f t="shared" si="6"/>
        <v>0.90519254652387959</v>
      </c>
      <c r="L53" s="31">
        <f t="shared" si="7"/>
        <v>0</v>
      </c>
      <c r="M53" s="31">
        <f t="shared" si="8"/>
        <v>0</v>
      </c>
      <c r="N53" s="29">
        <f t="shared" si="9"/>
        <v>0</v>
      </c>
      <c r="O53" s="13"/>
      <c r="P53" s="13"/>
      <c r="Q53" s="14">
        <v>3</v>
      </c>
      <c r="R53" s="13"/>
      <c r="S53" s="13"/>
      <c r="T53" s="13"/>
      <c r="W53" s="14">
        <v>16</v>
      </c>
      <c r="AA53" s="14">
        <v>3</v>
      </c>
      <c r="AB53" s="13"/>
      <c r="AD53" s="13"/>
      <c r="AE53" s="13"/>
      <c r="AF53" s="13"/>
      <c r="AG53" s="13"/>
      <c r="AH53" s="13"/>
      <c r="AI53" s="13"/>
      <c r="AK53" s="13"/>
      <c r="AL53" s="13"/>
      <c r="AM53" s="13"/>
      <c r="AO53" s="14">
        <v>2</v>
      </c>
      <c r="AP53" s="14">
        <v>6</v>
      </c>
      <c r="AQ53" s="13"/>
      <c r="AS53" s="13"/>
      <c r="AT53" s="13"/>
      <c r="AU53" s="14">
        <v>13</v>
      </c>
      <c r="AY53" s="13"/>
      <c r="AZ53" s="13"/>
      <c r="BA53" s="13"/>
      <c r="BB53" s="13"/>
      <c r="BD53" s="13"/>
      <c r="BE53" s="13"/>
      <c r="BF53" s="13"/>
      <c r="BH53" s="13"/>
      <c r="BK53" s="13"/>
      <c r="BM53" s="13"/>
      <c r="BO53" s="13"/>
      <c r="BQ53" s="13"/>
      <c r="BS53" s="13"/>
      <c r="BT53" s="13"/>
      <c r="BU53" s="13"/>
      <c r="BV53" s="13"/>
      <c r="BW53" s="13"/>
      <c r="BX53" s="13"/>
      <c r="BY53"/>
      <c r="BZ53"/>
      <c r="CA53"/>
      <c r="CB53"/>
      <c r="CC53"/>
      <c r="CD53"/>
      <c r="CE53"/>
      <c r="CF53"/>
      <c r="CG53"/>
    </row>
    <row r="54" spans="1:85" x14ac:dyDescent="0.25">
      <c r="A54" s="8" t="s">
        <v>86</v>
      </c>
      <c r="B54" s="9">
        <v>2</v>
      </c>
      <c r="C54" s="10">
        <v>44817</v>
      </c>
      <c r="D54" s="8" t="s">
        <v>87</v>
      </c>
      <c r="E54" s="8" t="s">
        <v>88</v>
      </c>
      <c r="F54" s="8">
        <v>9157</v>
      </c>
      <c r="G54" s="11">
        <v>-18.983576299999999</v>
      </c>
      <c r="H54" s="11">
        <v>146.2364761</v>
      </c>
      <c r="I54" s="12">
        <v>6.6284239999999999</v>
      </c>
      <c r="J54" s="9">
        <f t="shared" si="5"/>
        <v>7</v>
      </c>
      <c r="K54" s="33">
        <f t="shared" si="6"/>
        <v>1.0560579709445261</v>
      </c>
      <c r="L54" s="31">
        <f t="shared" si="7"/>
        <v>0</v>
      </c>
      <c r="M54" s="31">
        <f t="shared" si="8"/>
        <v>0</v>
      </c>
      <c r="N54" s="29">
        <f t="shared" si="9"/>
        <v>0</v>
      </c>
      <c r="O54" s="13"/>
      <c r="P54" s="13"/>
      <c r="Q54" s="14">
        <v>6</v>
      </c>
      <c r="R54" s="13"/>
      <c r="S54" s="13"/>
      <c r="T54" s="13"/>
      <c r="U54" s="8"/>
      <c r="V54" s="8"/>
      <c r="W54" s="14">
        <v>29</v>
      </c>
      <c r="X54" s="8"/>
      <c r="Y54" s="8"/>
      <c r="Z54" s="8"/>
      <c r="AA54" s="14">
        <v>3</v>
      </c>
      <c r="AB54" s="13"/>
      <c r="AC54" s="8"/>
      <c r="AD54" s="13"/>
      <c r="AE54" s="13"/>
      <c r="AF54" s="13"/>
      <c r="AG54" s="13"/>
      <c r="AH54" s="13"/>
      <c r="AI54" s="13"/>
      <c r="AJ54" s="8"/>
      <c r="AK54" s="13"/>
      <c r="AL54" s="13"/>
      <c r="AM54" s="13"/>
      <c r="AN54" s="8"/>
      <c r="AO54" s="14">
        <v>5</v>
      </c>
      <c r="AP54" s="14">
        <v>2</v>
      </c>
      <c r="AQ54" s="13"/>
      <c r="AR54" s="8"/>
      <c r="AS54" s="13"/>
      <c r="AT54" s="13"/>
      <c r="AU54" s="14">
        <v>60</v>
      </c>
      <c r="AV54" s="8"/>
      <c r="AW54" s="8"/>
      <c r="AX54" s="8"/>
      <c r="AY54" s="13"/>
      <c r="AZ54" s="13"/>
      <c r="BA54" s="13"/>
      <c r="BB54" s="13"/>
      <c r="BC54" s="8"/>
      <c r="BD54" s="14">
        <v>1</v>
      </c>
      <c r="BE54" s="13"/>
      <c r="BF54" s="13"/>
      <c r="BG54" s="8"/>
      <c r="BH54" s="13"/>
      <c r="BI54" s="8"/>
      <c r="BJ54" s="8"/>
      <c r="BK54" s="13"/>
      <c r="BL54" s="8"/>
      <c r="BM54" s="13"/>
      <c r="BN54" s="8"/>
      <c r="BO54" s="13"/>
      <c r="BP54" s="8"/>
      <c r="BQ54" s="13"/>
      <c r="BR54" s="8"/>
      <c r="BS54" s="13"/>
      <c r="BT54" s="13"/>
      <c r="BU54" s="13"/>
      <c r="BV54" s="13"/>
      <c r="BW54" s="13"/>
      <c r="BX54" s="13"/>
    </row>
    <row r="55" spans="1:85" s="8" customFormat="1" x14ac:dyDescent="0.25">
      <c r="A55" s="8" t="s">
        <v>86</v>
      </c>
      <c r="B55" s="9">
        <v>3</v>
      </c>
      <c r="C55" s="10">
        <v>45903</v>
      </c>
      <c r="D55" s="8" t="s">
        <v>87</v>
      </c>
      <c r="E55" s="8" t="s">
        <v>88</v>
      </c>
      <c r="F55" s="8">
        <v>9157</v>
      </c>
      <c r="G55" s="15">
        <v>-18.98358</v>
      </c>
      <c r="H55" s="15">
        <v>146.23648</v>
      </c>
      <c r="I55" s="16">
        <v>6.6284239999999999</v>
      </c>
      <c r="J55" s="17">
        <f t="shared" si="5"/>
        <v>6</v>
      </c>
      <c r="K55" s="33">
        <f t="shared" si="6"/>
        <v>0.90519254652387959</v>
      </c>
      <c r="L55" s="31">
        <f t="shared" si="7"/>
        <v>0</v>
      </c>
      <c r="M55" s="31">
        <f t="shared" si="8"/>
        <v>0</v>
      </c>
      <c r="N55" s="29">
        <f t="shared" si="9"/>
        <v>0</v>
      </c>
      <c r="O55" s="13"/>
      <c r="P55" s="13"/>
      <c r="Q55" s="14">
        <v>5</v>
      </c>
      <c r="R55" s="13"/>
      <c r="S55" s="13"/>
      <c r="T55" s="13"/>
      <c r="W55" s="14">
        <v>7</v>
      </c>
      <c r="AA55" s="13"/>
      <c r="AB55" s="13"/>
      <c r="AD55" s="13"/>
      <c r="AE55" s="13"/>
      <c r="AF55" s="13"/>
      <c r="AG55" s="13"/>
      <c r="AH55" s="13"/>
      <c r="AI55" s="13"/>
      <c r="AK55" s="13"/>
      <c r="AL55" s="13"/>
      <c r="AM55" s="13"/>
      <c r="AO55" s="14">
        <v>1</v>
      </c>
      <c r="AP55" s="14">
        <v>2</v>
      </c>
      <c r="AQ55" s="13"/>
      <c r="AS55" s="13"/>
      <c r="AT55" s="13"/>
      <c r="AU55" s="14">
        <v>12</v>
      </c>
      <c r="AY55" s="13"/>
      <c r="AZ55" s="13"/>
      <c r="BA55" s="13"/>
      <c r="BB55" s="13"/>
      <c r="BD55" s="14">
        <v>1</v>
      </c>
      <c r="BE55" s="13"/>
      <c r="BF55" s="13"/>
      <c r="BH55" s="13"/>
      <c r="BK55" s="13"/>
      <c r="BM55" s="13"/>
      <c r="BO55" s="13"/>
      <c r="BQ55" s="13"/>
      <c r="BS55" s="13"/>
      <c r="BT55" s="13"/>
      <c r="BU55" s="13"/>
      <c r="BV55" s="13"/>
      <c r="BW55" s="13"/>
      <c r="BX55" s="13"/>
      <c r="BY55"/>
      <c r="BZ55"/>
      <c r="CA55"/>
      <c r="CB55"/>
      <c r="CC55"/>
      <c r="CD55"/>
      <c r="CE55"/>
      <c r="CF55"/>
      <c r="CG55"/>
    </row>
    <row r="56" spans="1:85" s="8" customFormat="1" x14ac:dyDescent="0.25">
      <c r="A56" s="8" t="s">
        <v>60</v>
      </c>
      <c r="B56" s="9">
        <v>1</v>
      </c>
      <c r="C56" s="10">
        <v>43697</v>
      </c>
      <c r="D56" s="8" t="s">
        <v>61</v>
      </c>
      <c r="E56" s="8" t="s">
        <v>62</v>
      </c>
      <c r="F56" s="8">
        <v>9460</v>
      </c>
      <c r="G56" s="11">
        <v>-19.240335699999999</v>
      </c>
      <c r="H56" s="11">
        <v>146.44771059999999</v>
      </c>
      <c r="I56" s="12">
        <v>8.5675570000000008</v>
      </c>
      <c r="J56" s="9">
        <f t="shared" si="5"/>
        <v>5</v>
      </c>
      <c r="K56" s="33">
        <f t="shared" si="6"/>
        <v>0.58359693434196003</v>
      </c>
      <c r="L56" s="31">
        <f t="shared" si="7"/>
        <v>0</v>
      </c>
      <c r="M56" s="31">
        <f t="shared" si="8"/>
        <v>0</v>
      </c>
      <c r="N56" s="29">
        <f t="shared" si="9"/>
        <v>0</v>
      </c>
      <c r="O56" s="13"/>
      <c r="P56" s="13"/>
      <c r="Q56" s="14">
        <v>3</v>
      </c>
      <c r="R56" s="13"/>
      <c r="S56" s="13"/>
      <c r="T56" s="13"/>
      <c r="W56" s="14">
        <v>35</v>
      </c>
      <c r="AA56" s="13"/>
      <c r="AB56" s="13"/>
      <c r="AD56" s="13"/>
      <c r="AE56" s="13"/>
      <c r="AF56" s="13"/>
      <c r="AG56" s="13"/>
      <c r="AH56" s="13"/>
      <c r="AI56" s="13"/>
      <c r="AK56" s="13"/>
      <c r="AL56" s="13"/>
      <c r="AM56" s="13"/>
      <c r="AO56" s="13"/>
      <c r="AP56" s="13"/>
      <c r="AQ56" s="13"/>
      <c r="AS56" s="14">
        <v>6</v>
      </c>
      <c r="AT56" s="13"/>
      <c r="AU56" s="14">
        <v>144</v>
      </c>
      <c r="AY56" s="13"/>
      <c r="AZ56" s="13"/>
      <c r="BA56" s="13"/>
      <c r="BB56" s="14">
        <v>2</v>
      </c>
      <c r="BD56" s="13"/>
      <c r="BE56" s="13"/>
      <c r="BF56" s="13"/>
      <c r="BH56" s="13"/>
      <c r="BK56" s="13"/>
      <c r="BM56" s="13"/>
      <c r="BO56" s="13"/>
      <c r="BQ56" s="13"/>
      <c r="BS56" s="13"/>
      <c r="BT56" s="13"/>
      <c r="BU56" s="13"/>
      <c r="BV56" s="13"/>
      <c r="BW56" s="13"/>
      <c r="BX56" s="13"/>
      <c r="BY56"/>
      <c r="BZ56"/>
      <c r="CA56"/>
      <c r="CB56"/>
      <c r="CC56"/>
      <c r="CD56"/>
      <c r="CE56"/>
      <c r="CF56"/>
      <c r="CG56"/>
    </row>
    <row r="57" spans="1:85" s="8" customFormat="1" x14ac:dyDescent="0.25">
      <c r="A57" s="8" t="s">
        <v>60</v>
      </c>
      <c r="B57" s="9">
        <v>2</v>
      </c>
      <c r="C57" s="10">
        <v>44816</v>
      </c>
      <c r="D57" s="8" t="s">
        <v>61</v>
      </c>
      <c r="E57" s="8" t="s">
        <v>62</v>
      </c>
      <c r="F57" s="8">
        <v>9460</v>
      </c>
      <c r="G57" s="11">
        <v>-19.240335699999999</v>
      </c>
      <c r="H57" s="11">
        <v>146.44771059999999</v>
      </c>
      <c r="I57" s="12">
        <v>8.5675570000000008</v>
      </c>
      <c r="J57" s="9">
        <f t="shared" si="5"/>
        <v>3</v>
      </c>
      <c r="K57" s="33">
        <f t="shared" si="6"/>
        <v>0.35015816060517596</v>
      </c>
      <c r="L57" s="31">
        <f t="shared" si="7"/>
        <v>0</v>
      </c>
      <c r="M57" s="31">
        <f t="shared" si="8"/>
        <v>5.4054054054054057E-3</v>
      </c>
      <c r="N57" s="29">
        <f t="shared" si="9"/>
        <v>5.4054054054054057E-3</v>
      </c>
      <c r="O57" s="13"/>
      <c r="P57" s="13"/>
      <c r="Q57" s="13"/>
      <c r="R57" s="13"/>
      <c r="S57" s="13"/>
      <c r="T57" s="13"/>
      <c r="W57" s="14">
        <v>63</v>
      </c>
      <c r="AA57" s="13"/>
      <c r="AB57" s="13"/>
      <c r="AD57" s="13"/>
      <c r="AE57" s="13"/>
      <c r="AF57" s="13"/>
      <c r="AG57" s="13"/>
      <c r="AH57" s="13"/>
      <c r="AI57" s="13"/>
      <c r="AK57" s="13"/>
      <c r="AL57" s="13"/>
      <c r="AM57" s="13"/>
      <c r="AO57" s="13"/>
      <c r="AP57" s="13"/>
      <c r="AQ57" s="13"/>
      <c r="AS57" s="13"/>
      <c r="AT57" s="13"/>
      <c r="AU57" s="14">
        <v>118</v>
      </c>
      <c r="AY57" s="13"/>
      <c r="AZ57" s="13"/>
      <c r="BA57" s="13"/>
      <c r="BB57" s="14">
        <v>3</v>
      </c>
      <c r="BD57" s="13"/>
      <c r="BE57" s="13"/>
      <c r="BF57" s="13"/>
      <c r="BH57" s="13"/>
      <c r="BK57" s="13"/>
      <c r="BM57" s="13"/>
      <c r="BO57" s="13"/>
      <c r="BQ57" s="13"/>
      <c r="BS57" s="13"/>
      <c r="BT57" s="13"/>
      <c r="BU57" s="14">
        <v>1</v>
      </c>
      <c r="BV57" s="13"/>
      <c r="BW57" s="13"/>
      <c r="BX57" s="13"/>
      <c r="BY57"/>
      <c r="BZ57"/>
      <c r="CA57"/>
      <c r="CB57"/>
      <c r="CC57"/>
      <c r="CD57"/>
      <c r="CE57"/>
      <c r="CF57"/>
      <c r="CG57"/>
    </row>
    <row r="58" spans="1:85" x14ac:dyDescent="0.25">
      <c r="A58" s="8" t="s">
        <v>60</v>
      </c>
      <c r="B58" s="9">
        <v>3</v>
      </c>
      <c r="C58" s="10">
        <v>45903</v>
      </c>
      <c r="D58" s="8" t="s">
        <v>61</v>
      </c>
      <c r="E58" s="8" t="s">
        <v>62</v>
      </c>
      <c r="F58" s="8">
        <v>9460</v>
      </c>
      <c r="G58" s="15">
        <v>-19.24034</v>
      </c>
      <c r="H58" s="15">
        <v>146.44771</v>
      </c>
      <c r="I58" s="16">
        <v>8.5675570000000008</v>
      </c>
      <c r="J58" s="17">
        <f t="shared" si="5"/>
        <v>4</v>
      </c>
      <c r="K58" s="33">
        <f t="shared" si="6"/>
        <v>0.46687754747356797</v>
      </c>
      <c r="L58" s="31">
        <f t="shared" si="7"/>
        <v>0</v>
      </c>
      <c r="M58" s="31">
        <f t="shared" si="8"/>
        <v>0</v>
      </c>
      <c r="N58" s="29">
        <f t="shared" si="9"/>
        <v>0</v>
      </c>
      <c r="O58" s="13"/>
      <c r="P58" s="13"/>
      <c r="Q58" s="14">
        <v>1</v>
      </c>
      <c r="R58" s="13"/>
      <c r="S58" s="13"/>
      <c r="T58" s="13"/>
      <c r="U58" s="8"/>
      <c r="V58" s="8"/>
      <c r="W58" s="14">
        <v>94</v>
      </c>
      <c r="X58" s="8"/>
      <c r="Y58" s="8"/>
      <c r="Z58" s="8"/>
      <c r="AA58" s="13"/>
      <c r="AB58" s="13"/>
      <c r="AC58" s="8"/>
      <c r="AD58" s="13"/>
      <c r="AE58" s="13"/>
      <c r="AF58" s="13"/>
      <c r="AG58" s="13"/>
      <c r="AH58" s="13"/>
      <c r="AI58" s="13"/>
      <c r="AJ58" s="8"/>
      <c r="AK58" s="13"/>
      <c r="AL58" s="13"/>
      <c r="AM58" s="13"/>
      <c r="AN58" s="8"/>
      <c r="AO58" s="13"/>
      <c r="AP58" s="13"/>
      <c r="AQ58" s="13"/>
      <c r="AR58" s="8"/>
      <c r="AS58" s="14">
        <v>3</v>
      </c>
      <c r="AT58" s="13"/>
      <c r="AU58" s="14">
        <v>155</v>
      </c>
      <c r="AV58" s="8"/>
      <c r="AW58" s="8"/>
      <c r="AX58" s="8"/>
      <c r="AY58" s="13"/>
      <c r="AZ58" s="13"/>
      <c r="BA58" s="13"/>
      <c r="BB58" s="13"/>
      <c r="BC58" s="8"/>
      <c r="BD58" s="13"/>
      <c r="BE58" s="13"/>
      <c r="BF58" s="13"/>
      <c r="BG58" s="8"/>
      <c r="BH58" s="13"/>
      <c r="BI58" s="8"/>
      <c r="BJ58" s="8"/>
      <c r="BK58" s="13"/>
      <c r="BL58" s="8"/>
      <c r="BM58" s="13"/>
      <c r="BN58" s="8"/>
      <c r="BO58" s="13"/>
      <c r="BP58" s="8"/>
      <c r="BQ58" s="13"/>
      <c r="BR58" s="8"/>
      <c r="BS58" s="13"/>
      <c r="BT58" s="13"/>
      <c r="BU58" s="13"/>
      <c r="BV58" s="13"/>
      <c r="BW58" s="13"/>
      <c r="BX58" s="13"/>
    </row>
    <row r="59" spans="1:85" x14ac:dyDescent="0.25">
      <c r="A59" t="s">
        <v>66</v>
      </c>
      <c r="B59" s="18">
        <v>1</v>
      </c>
      <c r="C59" s="19">
        <v>43697</v>
      </c>
      <c r="D59" t="s">
        <v>67</v>
      </c>
      <c r="E59" t="s">
        <v>68</v>
      </c>
      <c r="F59">
        <v>9030</v>
      </c>
      <c r="G59" s="25">
        <v>-19.049446199999998</v>
      </c>
      <c r="H59" s="25">
        <v>146.39601949999999</v>
      </c>
      <c r="I59" s="26">
        <v>11.820486000000001</v>
      </c>
      <c r="J59" s="18">
        <f t="shared" si="5"/>
        <v>10</v>
      </c>
      <c r="K59" s="34">
        <f t="shared" si="6"/>
        <v>0.84598890434792606</v>
      </c>
      <c r="L59" s="32">
        <f t="shared" si="7"/>
        <v>0</v>
      </c>
      <c r="M59" s="32">
        <f t="shared" si="8"/>
        <v>4.0760869565217392E-2</v>
      </c>
      <c r="N59" s="30">
        <f t="shared" si="9"/>
        <v>4.0760869565217392E-2</v>
      </c>
      <c r="O59" s="24">
        <v>1</v>
      </c>
      <c r="P59" s="23"/>
      <c r="Q59" s="24">
        <v>20</v>
      </c>
      <c r="R59" s="23"/>
      <c r="S59" s="23"/>
      <c r="T59" s="24">
        <v>6</v>
      </c>
      <c r="W59" s="24">
        <v>4</v>
      </c>
      <c r="AA59" s="23"/>
      <c r="AB59" s="23"/>
      <c r="AD59" s="23"/>
      <c r="AE59" s="23"/>
      <c r="AF59" s="23"/>
      <c r="AG59" s="23"/>
      <c r="AH59" s="23"/>
      <c r="AI59" s="23"/>
      <c r="AK59" s="23"/>
      <c r="AL59" s="24">
        <v>3</v>
      </c>
      <c r="AM59" s="23"/>
      <c r="AO59" s="24">
        <v>60</v>
      </c>
      <c r="AP59" s="24">
        <v>2</v>
      </c>
      <c r="AQ59" s="23"/>
      <c r="AS59" s="24">
        <v>1</v>
      </c>
      <c r="AT59" s="23"/>
      <c r="AU59" s="24">
        <v>252</v>
      </c>
      <c r="AY59" s="23"/>
      <c r="AZ59" s="23"/>
      <c r="BA59" s="23"/>
      <c r="BB59" s="24">
        <v>4</v>
      </c>
      <c r="BD59" s="23"/>
      <c r="BE59" s="23"/>
      <c r="BF59" s="23"/>
      <c r="BH59" s="23"/>
      <c r="BK59" s="23"/>
      <c r="BM59" s="23"/>
      <c r="BO59" s="23"/>
      <c r="BQ59" s="23"/>
      <c r="BS59" s="23"/>
      <c r="BT59" s="23"/>
      <c r="BU59" s="24">
        <v>15</v>
      </c>
      <c r="BV59" s="23"/>
      <c r="BW59" s="23"/>
      <c r="BX59" s="23"/>
    </row>
    <row r="60" spans="1:85" x14ac:dyDescent="0.25">
      <c r="A60" t="s">
        <v>66</v>
      </c>
      <c r="B60" s="18">
        <v>2</v>
      </c>
      <c r="C60" s="19">
        <v>44818</v>
      </c>
      <c r="D60" t="s">
        <v>67</v>
      </c>
      <c r="E60" t="s">
        <v>68</v>
      </c>
      <c r="F60">
        <v>9030</v>
      </c>
      <c r="G60" s="25">
        <v>-19.049446199999998</v>
      </c>
      <c r="H60" s="25">
        <v>146.39601949999999</v>
      </c>
      <c r="I60" s="26">
        <v>11.820486000000001</v>
      </c>
      <c r="J60" s="18">
        <f t="shared" si="5"/>
        <v>10</v>
      </c>
      <c r="K60" s="34">
        <f t="shared" si="6"/>
        <v>0.84598890434792606</v>
      </c>
      <c r="L60" s="32">
        <f t="shared" si="7"/>
        <v>0</v>
      </c>
      <c r="M60" s="32">
        <f t="shared" si="8"/>
        <v>1.6853932584269662E-2</v>
      </c>
      <c r="N60" s="30">
        <f t="shared" si="9"/>
        <v>1.6853932584269662E-2</v>
      </c>
      <c r="O60" s="24">
        <v>1</v>
      </c>
      <c r="P60" s="23"/>
      <c r="Q60" s="24">
        <v>29</v>
      </c>
      <c r="R60" s="23"/>
      <c r="S60" s="23"/>
      <c r="T60" s="24">
        <v>2</v>
      </c>
      <c r="W60" s="24">
        <v>30</v>
      </c>
      <c r="AA60" s="23"/>
      <c r="AB60" s="23"/>
      <c r="AD60" s="23"/>
      <c r="AE60" s="24">
        <v>1</v>
      </c>
      <c r="AF60" s="23"/>
      <c r="AG60" s="23"/>
      <c r="AH60" s="23"/>
      <c r="AI60" s="23"/>
      <c r="AK60" s="23"/>
      <c r="AL60" s="24">
        <v>5</v>
      </c>
      <c r="AM60" s="23"/>
      <c r="AO60" s="24">
        <v>22</v>
      </c>
      <c r="AP60" s="23"/>
      <c r="AQ60" s="23"/>
      <c r="AS60" s="23"/>
      <c r="AT60" s="23"/>
      <c r="AU60" s="24">
        <v>81</v>
      </c>
      <c r="AY60" s="23"/>
      <c r="AZ60" s="23"/>
      <c r="BA60" s="24">
        <v>1</v>
      </c>
      <c r="BB60" s="23"/>
      <c r="BD60" s="24">
        <v>3</v>
      </c>
      <c r="BE60" s="23"/>
      <c r="BF60" s="23"/>
      <c r="BH60" s="23"/>
      <c r="BK60" s="23"/>
      <c r="BM60" s="23"/>
      <c r="BO60" s="23"/>
      <c r="BQ60" s="23"/>
      <c r="BS60" s="23"/>
      <c r="BT60" s="23"/>
      <c r="BU60" s="24">
        <v>3</v>
      </c>
      <c r="BV60" s="23"/>
      <c r="BW60" s="23"/>
      <c r="BX60" s="23"/>
    </row>
    <row r="61" spans="1:85" s="8" customFormat="1" x14ac:dyDescent="0.25">
      <c r="A61" t="s">
        <v>66</v>
      </c>
      <c r="B61" s="18">
        <v>3</v>
      </c>
      <c r="C61" s="19">
        <v>45903</v>
      </c>
      <c r="D61" t="s">
        <v>67</v>
      </c>
      <c r="E61" t="s">
        <v>68</v>
      </c>
      <c r="F61">
        <v>9030</v>
      </c>
      <c r="G61" s="20">
        <v>-19.04945</v>
      </c>
      <c r="H61" s="20">
        <v>146.39601999999999</v>
      </c>
      <c r="I61" s="21">
        <v>11.820486000000001</v>
      </c>
      <c r="J61" s="22">
        <f t="shared" si="5"/>
        <v>10</v>
      </c>
      <c r="K61" s="34">
        <f t="shared" si="6"/>
        <v>0.84598890434792606</v>
      </c>
      <c r="L61" s="32">
        <f t="shared" si="7"/>
        <v>0</v>
      </c>
      <c r="M61" s="32">
        <f t="shared" si="8"/>
        <v>3.7383177570093455E-2</v>
      </c>
      <c r="N61" s="30">
        <f t="shared" si="9"/>
        <v>3.7383177570093455E-2</v>
      </c>
      <c r="O61" s="23"/>
      <c r="P61" s="23"/>
      <c r="Q61" s="24">
        <v>14</v>
      </c>
      <c r="R61" s="24">
        <v>3</v>
      </c>
      <c r="S61" s="23"/>
      <c r="T61" s="24">
        <v>3</v>
      </c>
      <c r="U61"/>
      <c r="V61"/>
      <c r="W61" s="24">
        <v>12</v>
      </c>
      <c r="X61"/>
      <c r="Y61"/>
      <c r="Z61"/>
      <c r="AA61" s="23"/>
      <c r="AB61" s="23"/>
      <c r="AC61"/>
      <c r="AD61" s="23"/>
      <c r="AE61" s="23"/>
      <c r="AF61" s="23"/>
      <c r="AG61" s="23"/>
      <c r="AH61" s="23"/>
      <c r="AI61" s="23"/>
      <c r="AJ61"/>
      <c r="AK61" s="23"/>
      <c r="AL61" s="24">
        <v>9</v>
      </c>
      <c r="AM61" s="23"/>
      <c r="AN61"/>
      <c r="AO61" s="24">
        <v>48</v>
      </c>
      <c r="AP61" s="24">
        <v>14</v>
      </c>
      <c r="AQ61" s="23"/>
      <c r="AR61"/>
      <c r="AS61" s="24">
        <v>5</v>
      </c>
      <c r="AT61" s="23"/>
      <c r="AU61" s="24">
        <v>97</v>
      </c>
      <c r="AV61"/>
      <c r="AW61"/>
      <c r="AX61"/>
      <c r="AY61" s="23"/>
      <c r="AZ61" s="23"/>
      <c r="BA61" s="23"/>
      <c r="BB61" s="24">
        <v>1</v>
      </c>
      <c r="BC61"/>
      <c r="BD61" s="23"/>
      <c r="BE61" s="23"/>
      <c r="BF61" s="23"/>
      <c r="BG61"/>
      <c r="BH61" s="23"/>
      <c r="BI61"/>
      <c r="BJ61"/>
      <c r="BK61" s="23"/>
      <c r="BL61"/>
      <c r="BM61" s="23"/>
      <c r="BN61"/>
      <c r="BO61" s="23"/>
      <c r="BP61"/>
      <c r="BQ61" s="23"/>
      <c r="BR61"/>
      <c r="BS61" s="23"/>
      <c r="BT61" s="23"/>
      <c r="BU61" s="24">
        <v>8</v>
      </c>
      <c r="BV61" s="23"/>
      <c r="BW61" s="23"/>
      <c r="BX61" s="23"/>
      <c r="BY61"/>
      <c r="BZ61"/>
      <c r="CA61"/>
      <c r="CB61"/>
      <c r="CC61"/>
      <c r="CD61"/>
      <c r="CE61"/>
      <c r="CF61"/>
      <c r="CG61"/>
    </row>
    <row r="62" spans="1:85" x14ac:dyDescent="0.25">
      <c r="A62" t="s">
        <v>116</v>
      </c>
      <c r="B62" s="18">
        <v>1</v>
      </c>
      <c r="C62" s="19">
        <v>43696</v>
      </c>
      <c r="D62" t="s">
        <v>117</v>
      </c>
      <c r="E62" t="s">
        <v>118</v>
      </c>
      <c r="F62">
        <v>12420</v>
      </c>
      <c r="G62" s="25">
        <v>-19.406652300000001</v>
      </c>
      <c r="H62" s="25">
        <v>146.73480599999999</v>
      </c>
      <c r="I62" s="26">
        <v>15.428856</v>
      </c>
      <c r="J62" s="18">
        <f t="shared" si="5"/>
        <v>15</v>
      </c>
      <c r="K62" s="34">
        <f t="shared" si="6"/>
        <v>0.97220429045419832</v>
      </c>
      <c r="L62" s="32">
        <f t="shared" si="7"/>
        <v>7.8873239436619724E-2</v>
      </c>
      <c r="M62" s="32">
        <f t="shared" si="8"/>
        <v>3.6619718309859155E-2</v>
      </c>
      <c r="N62" s="30">
        <f t="shared" si="9"/>
        <v>0.11549295774647887</v>
      </c>
      <c r="O62" s="24">
        <v>79</v>
      </c>
      <c r="P62" s="24">
        <v>65</v>
      </c>
      <c r="Q62" s="24">
        <v>10</v>
      </c>
      <c r="R62" s="23"/>
      <c r="S62" s="23"/>
      <c r="T62" s="24">
        <v>25</v>
      </c>
      <c r="W62" s="24">
        <v>3</v>
      </c>
      <c r="AA62" s="23"/>
      <c r="AB62" s="23"/>
      <c r="AD62" s="23"/>
      <c r="AE62" s="23"/>
      <c r="AF62" s="23"/>
      <c r="AG62" s="23"/>
      <c r="AH62" s="23"/>
      <c r="AI62" s="24">
        <v>3</v>
      </c>
      <c r="AK62" s="23"/>
      <c r="AL62" s="23"/>
      <c r="AM62" s="23"/>
      <c r="AO62" s="23"/>
      <c r="AP62" s="23"/>
      <c r="AQ62" s="23"/>
      <c r="AS62" s="24">
        <v>9</v>
      </c>
      <c r="AT62" s="23"/>
      <c r="AU62" s="24">
        <v>34</v>
      </c>
      <c r="AY62" s="23"/>
      <c r="AZ62" s="24">
        <v>42</v>
      </c>
      <c r="BA62" s="24">
        <v>2</v>
      </c>
      <c r="BB62" s="24">
        <v>9</v>
      </c>
      <c r="BD62" s="24">
        <v>2</v>
      </c>
      <c r="BE62" s="23"/>
      <c r="BF62" s="24">
        <v>15</v>
      </c>
      <c r="BH62" s="24">
        <v>14</v>
      </c>
      <c r="BK62" s="23"/>
      <c r="BM62" s="23"/>
      <c r="BO62" s="24">
        <v>2</v>
      </c>
      <c r="BQ62" s="24">
        <v>28</v>
      </c>
      <c r="BS62" s="23"/>
      <c r="BT62" s="24">
        <v>3</v>
      </c>
      <c r="BU62" s="24">
        <v>10</v>
      </c>
      <c r="BV62" s="23"/>
      <c r="BW62" s="23"/>
      <c r="BX62" s="23"/>
    </row>
    <row r="63" spans="1:85" x14ac:dyDescent="0.25">
      <c r="A63" t="s">
        <v>129</v>
      </c>
      <c r="B63" s="18">
        <v>2</v>
      </c>
      <c r="C63" s="19">
        <v>44363</v>
      </c>
      <c r="D63" t="s">
        <v>117</v>
      </c>
      <c r="E63" t="s">
        <v>130</v>
      </c>
      <c r="F63">
        <v>12591</v>
      </c>
      <c r="G63" s="25">
        <v>-19.339500000000001</v>
      </c>
      <c r="H63" s="25">
        <v>146.72909999999999</v>
      </c>
      <c r="I63" s="26">
        <v>16.274612000000001</v>
      </c>
      <c r="J63" s="18">
        <f t="shared" si="5"/>
        <v>15</v>
      </c>
      <c r="K63" s="34">
        <f t="shared" si="6"/>
        <v>0.92168095927571103</v>
      </c>
      <c r="L63" s="32">
        <f t="shared" si="7"/>
        <v>4.6838407494145202E-2</v>
      </c>
      <c r="M63" s="32">
        <f t="shared" si="8"/>
        <v>9.3676814988290398E-3</v>
      </c>
      <c r="N63" s="30">
        <f t="shared" si="9"/>
        <v>5.6206088992974239E-2</v>
      </c>
      <c r="O63" s="24">
        <v>13</v>
      </c>
      <c r="P63" s="24">
        <v>8</v>
      </c>
      <c r="Q63" s="24">
        <v>7</v>
      </c>
      <c r="R63" s="23"/>
      <c r="S63" s="23"/>
      <c r="T63" s="24">
        <v>282</v>
      </c>
      <c r="W63" s="23"/>
      <c r="AA63" s="23"/>
      <c r="AB63" s="23"/>
      <c r="AD63" s="24">
        <v>12</v>
      </c>
      <c r="AE63" s="23"/>
      <c r="AF63" s="23"/>
      <c r="AG63" s="23"/>
      <c r="AH63" s="23"/>
      <c r="AI63" s="24">
        <v>10</v>
      </c>
      <c r="AK63" s="23"/>
      <c r="AL63" s="23"/>
      <c r="AM63" s="23"/>
      <c r="AO63" s="24">
        <v>1</v>
      </c>
      <c r="AP63" s="23"/>
      <c r="AQ63" s="24">
        <v>3</v>
      </c>
      <c r="AS63" s="24">
        <v>2</v>
      </c>
      <c r="AT63" s="23"/>
      <c r="AU63" s="24">
        <v>30</v>
      </c>
      <c r="AY63" s="23"/>
      <c r="AZ63" s="24">
        <v>22</v>
      </c>
      <c r="BA63" s="23"/>
      <c r="BB63" s="23"/>
      <c r="BD63" s="23"/>
      <c r="BE63" s="23"/>
      <c r="BF63" s="24">
        <v>1</v>
      </c>
      <c r="BH63" s="24">
        <v>6</v>
      </c>
      <c r="BK63" s="23"/>
      <c r="BM63" s="24">
        <v>2</v>
      </c>
      <c r="BO63" s="24">
        <v>4</v>
      </c>
      <c r="BQ63" s="24">
        <v>20</v>
      </c>
      <c r="BS63" s="24">
        <v>1</v>
      </c>
      <c r="BT63" s="23"/>
      <c r="BU63" s="24">
        <v>3</v>
      </c>
      <c r="BV63" s="23"/>
      <c r="BW63" s="23"/>
      <c r="BX63" s="23"/>
    </row>
    <row r="64" spans="1:85" x14ac:dyDescent="0.25">
      <c r="A64" s="8" t="s">
        <v>131</v>
      </c>
      <c r="B64" s="9">
        <v>2</v>
      </c>
      <c r="C64" s="10">
        <v>44363</v>
      </c>
      <c r="D64" s="8" t="s">
        <v>117</v>
      </c>
      <c r="E64" s="8" t="s">
        <v>132</v>
      </c>
      <c r="F64" s="8">
        <v>9465</v>
      </c>
      <c r="G64" s="11">
        <v>-19.308299999999999</v>
      </c>
      <c r="H64" s="11">
        <v>146.77610000000001</v>
      </c>
      <c r="I64" s="12">
        <v>16.806706999999999</v>
      </c>
      <c r="J64" s="9">
        <f t="shared" si="5"/>
        <v>13</v>
      </c>
      <c r="K64" s="33">
        <f t="shared" si="6"/>
        <v>0.77350072206292408</v>
      </c>
      <c r="L64" s="31">
        <f t="shared" si="7"/>
        <v>3.4246575342465752E-3</v>
      </c>
      <c r="M64" s="31">
        <f t="shared" si="8"/>
        <v>7.9908675799086754E-3</v>
      </c>
      <c r="N64" s="29">
        <f t="shared" si="9"/>
        <v>1.1415525114155251E-2</v>
      </c>
      <c r="O64" s="14">
        <v>18</v>
      </c>
      <c r="P64" s="14">
        <v>50</v>
      </c>
      <c r="Q64" s="14">
        <v>11</v>
      </c>
      <c r="R64" s="13"/>
      <c r="S64" s="13"/>
      <c r="T64" s="14">
        <v>603</v>
      </c>
      <c r="U64" s="8"/>
      <c r="V64" s="8"/>
      <c r="W64" s="13"/>
      <c r="X64" s="8"/>
      <c r="Y64" s="8"/>
      <c r="Z64" s="8"/>
      <c r="AA64" s="13"/>
      <c r="AB64" s="13"/>
      <c r="AC64" s="8"/>
      <c r="AD64" s="14">
        <v>24</v>
      </c>
      <c r="AE64" s="13"/>
      <c r="AF64" s="13"/>
      <c r="AG64" s="13"/>
      <c r="AH64" s="13"/>
      <c r="AI64" s="14">
        <v>29</v>
      </c>
      <c r="AJ64" s="8"/>
      <c r="AK64" s="13"/>
      <c r="AL64" s="13"/>
      <c r="AM64" s="13"/>
      <c r="AN64" s="8"/>
      <c r="AO64" s="13"/>
      <c r="AP64" s="13"/>
      <c r="AQ64" s="14">
        <v>1</v>
      </c>
      <c r="AR64" s="8"/>
      <c r="AS64" s="13"/>
      <c r="AT64" s="13"/>
      <c r="AU64" s="14">
        <v>79</v>
      </c>
      <c r="AV64" s="8"/>
      <c r="AW64" s="8"/>
      <c r="AX64" s="8"/>
      <c r="AY64" s="13"/>
      <c r="AZ64" s="14">
        <v>30</v>
      </c>
      <c r="BA64" s="13"/>
      <c r="BB64" s="13"/>
      <c r="BC64" s="8"/>
      <c r="BD64" s="14">
        <v>1</v>
      </c>
      <c r="BE64" s="13"/>
      <c r="BF64" s="13"/>
      <c r="BG64" s="8"/>
      <c r="BH64" s="14">
        <v>5</v>
      </c>
      <c r="BI64" s="8"/>
      <c r="BJ64" s="8"/>
      <c r="BK64" s="13"/>
      <c r="BL64" s="8"/>
      <c r="BM64" s="14">
        <v>9</v>
      </c>
      <c r="BN64" s="8"/>
      <c r="BO64" s="14">
        <v>6</v>
      </c>
      <c r="BP64" s="8"/>
      <c r="BQ64" s="14">
        <v>3</v>
      </c>
      <c r="BR64" s="8"/>
      <c r="BS64" s="14">
        <v>5</v>
      </c>
      <c r="BT64" s="14">
        <v>2</v>
      </c>
      <c r="BU64" s="13"/>
      <c r="BV64" s="13"/>
      <c r="BW64" s="13"/>
      <c r="BX64" s="13"/>
    </row>
    <row r="65" spans="1:85" s="8" customFormat="1" x14ac:dyDescent="0.25">
      <c r="A65" t="s">
        <v>116</v>
      </c>
      <c r="B65" s="18">
        <v>2</v>
      </c>
      <c r="C65" s="19">
        <v>44817</v>
      </c>
      <c r="D65" t="s">
        <v>117</v>
      </c>
      <c r="E65" t="s">
        <v>118</v>
      </c>
      <c r="F65">
        <v>12420</v>
      </c>
      <c r="G65" s="25">
        <v>-19.406652300000001</v>
      </c>
      <c r="H65" s="25">
        <v>146.73480599999999</v>
      </c>
      <c r="I65" s="26">
        <v>15.428856</v>
      </c>
      <c r="J65" s="18">
        <f t="shared" si="5"/>
        <v>10</v>
      </c>
      <c r="K65" s="34">
        <f t="shared" si="6"/>
        <v>0.64813619363613217</v>
      </c>
      <c r="L65" s="32">
        <f t="shared" si="7"/>
        <v>4.1666666666666664E-2</v>
      </c>
      <c r="M65" s="32">
        <f t="shared" si="8"/>
        <v>0.33333333333333331</v>
      </c>
      <c r="N65" s="30">
        <f t="shared" si="9"/>
        <v>0.375</v>
      </c>
      <c r="O65" s="24">
        <v>9</v>
      </c>
      <c r="P65" s="24">
        <v>10</v>
      </c>
      <c r="Q65" s="24">
        <v>6</v>
      </c>
      <c r="R65" s="23"/>
      <c r="S65" s="23"/>
      <c r="T65" s="24">
        <v>8</v>
      </c>
      <c r="U65"/>
      <c r="V65"/>
      <c r="W65" s="24">
        <v>1</v>
      </c>
      <c r="X65"/>
      <c r="Y65"/>
      <c r="Z65"/>
      <c r="AA65" s="23"/>
      <c r="AB65" s="23"/>
      <c r="AC65"/>
      <c r="AD65" s="24">
        <v>5</v>
      </c>
      <c r="AE65" s="23"/>
      <c r="AF65" s="23"/>
      <c r="AG65" s="23"/>
      <c r="AH65" s="23"/>
      <c r="AI65" s="24">
        <v>3</v>
      </c>
      <c r="AJ65"/>
      <c r="AK65" s="23"/>
      <c r="AL65" s="23"/>
      <c r="AM65" s="23"/>
      <c r="AN65"/>
      <c r="AO65" s="23"/>
      <c r="AP65" s="23"/>
      <c r="AQ65" s="23"/>
      <c r="AR65"/>
      <c r="AS65" s="24">
        <v>2</v>
      </c>
      <c r="AT65" s="23"/>
      <c r="AU65" s="24">
        <v>42</v>
      </c>
      <c r="AV65"/>
      <c r="AW65"/>
      <c r="AX65"/>
      <c r="AY65" s="23"/>
      <c r="AZ65" s="23"/>
      <c r="BA65" s="23"/>
      <c r="BB65" s="23"/>
      <c r="BC65"/>
      <c r="BD65" s="24">
        <v>4</v>
      </c>
      <c r="BE65" s="23"/>
      <c r="BF65" s="23"/>
      <c r="BG65"/>
      <c r="BH65" s="23"/>
      <c r="BI65"/>
      <c r="BJ65"/>
      <c r="BK65" s="23"/>
      <c r="BL65"/>
      <c r="BM65" s="23"/>
      <c r="BN65"/>
      <c r="BO65" s="23"/>
      <c r="BP65"/>
      <c r="BQ65" s="24">
        <v>6</v>
      </c>
      <c r="BR65"/>
      <c r="BS65" s="23"/>
      <c r="BT65" s="24">
        <v>11</v>
      </c>
      <c r="BU65" s="24">
        <v>4</v>
      </c>
      <c r="BV65" s="23"/>
      <c r="BW65" s="23"/>
      <c r="BX65" s="24">
        <v>33</v>
      </c>
      <c r="BY65"/>
      <c r="BZ65"/>
      <c r="CA65"/>
      <c r="CB65"/>
      <c r="CC65"/>
      <c r="CD65"/>
      <c r="CE65"/>
      <c r="CF65"/>
      <c r="CG65"/>
    </row>
    <row r="66" spans="1:85" s="8" customFormat="1" x14ac:dyDescent="0.25">
      <c r="A66" t="s">
        <v>116</v>
      </c>
      <c r="B66" s="18">
        <v>3</v>
      </c>
      <c r="C66" s="19">
        <v>45898</v>
      </c>
      <c r="D66" t="s">
        <v>117</v>
      </c>
      <c r="E66" t="s">
        <v>118</v>
      </c>
      <c r="F66">
        <v>12420</v>
      </c>
      <c r="G66" s="20">
        <v>-19.406649999999999</v>
      </c>
      <c r="H66" s="20">
        <v>146.73481000000001</v>
      </c>
      <c r="I66" s="21">
        <v>15.428856</v>
      </c>
      <c r="J66" s="22">
        <f t="shared" ref="J66:J79" si="10">COUNTIF(O66:BO66,"&gt;0")</f>
        <v>9</v>
      </c>
      <c r="K66" s="34">
        <f t="shared" ref="K66:K79" si="11">J66/I66</f>
        <v>0.58332257427251899</v>
      </c>
      <c r="L66" s="32">
        <f t="shared" ref="L66:L79" si="12">SUM(BQ66:BR66)/SUM(O66:BX66)</f>
        <v>2.34375E-2</v>
      </c>
      <c r="M66" s="32">
        <f t="shared" ref="M66:M79" si="13">SUM(BS66:BX66)/SUM(O66:BX66)</f>
        <v>4.6875E-2</v>
      </c>
      <c r="N66" s="30">
        <f t="shared" ref="N66:N79" si="14">SUM(BQ66:BX66)/SUM(O66:BX66)</f>
        <v>7.03125E-2</v>
      </c>
      <c r="O66" s="23"/>
      <c r="P66" s="24">
        <v>50</v>
      </c>
      <c r="Q66" s="24">
        <v>8</v>
      </c>
      <c r="R66" s="23"/>
      <c r="S66" s="23"/>
      <c r="T66" s="24">
        <v>14</v>
      </c>
      <c r="U66"/>
      <c r="V66"/>
      <c r="W66" s="23"/>
      <c r="X66"/>
      <c r="Y66"/>
      <c r="Z66"/>
      <c r="AA66" s="23"/>
      <c r="AB66" s="23"/>
      <c r="AC66"/>
      <c r="AD66" s="23"/>
      <c r="AE66" s="23"/>
      <c r="AF66" s="23"/>
      <c r="AG66" s="23"/>
      <c r="AH66" s="23"/>
      <c r="AI66" s="24">
        <v>13</v>
      </c>
      <c r="AJ66"/>
      <c r="AK66" s="23"/>
      <c r="AL66" s="23"/>
      <c r="AM66" s="23"/>
      <c r="AN66"/>
      <c r="AO66" s="24">
        <v>3</v>
      </c>
      <c r="AP66" s="23"/>
      <c r="AQ66" s="23"/>
      <c r="AR66"/>
      <c r="AS66" s="24">
        <v>5</v>
      </c>
      <c r="AT66" s="23"/>
      <c r="AU66" s="24">
        <v>19</v>
      </c>
      <c r="AV66"/>
      <c r="AW66"/>
      <c r="AX66"/>
      <c r="AY66" s="23"/>
      <c r="AZ66" s="23"/>
      <c r="BA66" s="23"/>
      <c r="BB66" s="23"/>
      <c r="BC66"/>
      <c r="BD66" s="24">
        <v>4</v>
      </c>
      <c r="BE66" s="23"/>
      <c r="BF66" s="23"/>
      <c r="BG66"/>
      <c r="BH66" s="24">
        <v>3</v>
      </c>
      <c r="BI66"/>
      <c r="BJ66"/>
      <c r="BK66" s="23"/>
      <c r="BL66"/>
      <c r="BM66" s="23"/>
      <c r="BN66"/>
      <c r="BO66" s="23"/>
      <c r="BP66"/>
      <c r="BQ66" s="24">
        <v>3</v>
      </c>
      <c r="BR66"/>
      <c r="BS66" s="23"/>
      <c r="BT66" s="23"/>
      <c r="BU66" s="24">
        <v>6</v>
      </c>
      <c r="BV66" s="23"/>
      <c r="BW66" s="23"/>
      <c r="BX66" s="23"/>
      <c r="BY66"/>
      <c r="BZ66"/>
      <c r="CA66"/>
      <c r="CB66"/>
      <c r="CC66"/>
      <c r="CD66"/>
      <c r="CE66"/>
      <c r="CF66"/>
      <c r="CG66"/>
    </row>
    <row r="67" spans="1:85" x14ac:dyDescent="0.25">
      <c r="A67" s="8" t="s">
        <v>107</v>
      </c>
      <c r="B67" s="9">
        <v>1</v>
      </c>
      <c r="C67" s="10">
        <v>43697</v>
      </c>
      <c r="D67" s="8" t="s">
        <v>108</v>
      </c>
      <c r="E67" s="8" t="s">
        <v>109</v>
      </c>
      <c r="F67" s="8">
        <v>13437</v>
      </c>
      <c r="G67" s="11">
        <v>-19.4066148</v>
      </c>
      <c r="H67" s="11">
        <v>146.81662309999999</v>
      </c>
      <c r="I67" s="12">
        <v>11.229381999999999</v>
      </c>
      <c r="J67" s="9">
        <f t="shared" si="10"/>
        <v>6</v>
      </c>
      <c r="K67" s="33">
        <f t="shared" si="11"/>
        <v>0.53431257392437093</v>
      </c>
      <c r="L67" s="31">
        <f t="shared" si="12"/>
        <v>0</v>
      </c>
      <c r="M67" s="31">
        <f t="shared" si="13"/>
        <v>0.55921052631578949</v>
      </c>
      <c r="N67" s="29">
        <f t="shared" si="14"/>
        <v>0.55921052631578949</v>
      </c>
      <c r="O67" s="14">
        <v>32</v>
      </c>
      <c r="P67" s="13"/>
      <c r="Q67" s="13"/>
      <c r="R67" s="13"/>
      <c r="S67" s="13"/>
      <c r="T67" s="14">
        <v>1</v>
      </c>
      <c r="U67" s="8"/>
      <c r="V67" s="8"/>
      <c r="W67" s="13"/>
      <c r="X67" s="8"/>
      <c r="Y67" s="8"/>
      <c r="Z67" s="8"/>
      <c r="AA67" s="13"/>
      <c r="AB67" s="13"/>
      <c r="AC67" s="8"/>
      <c r="AD67" s="14">
        <v>2</v>
      </c>
      <c r="AE67" s="13"/>
      <c r="AF67" s="13"/>
      <c r="AG67" s="13"/>
      <c r="AH67" s="13"/>
      <c r="AI67" s="14">
        <v>16</v>
      </c>
      <c r="AJ67" s="8"/>
      <c r="AK67" s="13"/>
      <c r="AL67" s="13"/>
      <c r="AM67" s="13"/>
      <c r="AN67" s="8"/>
      <c r="AO67" s="13"/>
      <c r="AP67" s="13"/>
      <c r="AQ67" s="13"/>
      <c r="AR67" s="8"/>
      <c r="AS67" s="13"/>
      <c r="AT67" s="13"/>
      <c r="AU67" s="14">
        <v>1</v>
      </c>
      <c r="AV67" s="8"/>
      <c r="AW67" s="8"/>
      <c r="AX67" s="8"/>
      <c r="AY67" s="13"/>
      <c r="AZ67" s="13"/>
      <c r="BA67" s="14">
        <v>15</v>
      </c>
      <c r="BB67" s="13"/>
      <c r="BC67" s="8"/>
      <c r="BD67" s="13"/>
      <c r="BE67" s="13"/>
      <c r="BF67" s="13"/>
      <c r="BG67" s="8"/>
      <c r="BH67" s="13"/>
      <c r="BI67" s="8"/>
      <c r="BJ67" s="8"/>
      <c r="BK67" s="13"/>
      <c r="BL67" s="8"/>
      <c r="BM67" s="13"/>
      <c r="BN67" s="8"/>
      <c r="BO67" s="13"/>
      <c r="BP67" s="8"/>
      <c r="BQ67" s="13"/>
      <c r="BR67" s="8"/>
      <c r="BS67" s="13"/>
      <c r="BT67" s="14">
        <v>85</v>
      </c>
      <c r="BU67" s="13"/>
      <c r="BV67" s="13"/>
      <c r="BW67" s="13"/>
      <c r="BX67" s="13"/>
    </row>
    <row r="68" spans="1:85" x14ac:dyDescent="0.25">
      <c r="A68" s="8" t="s">
        <v>107</v>
      </c>
      <c r="B68" s="9">
        <v>2</v>
      </c>
      <c r="C68" s="10">
        <v>44817</v>
      </c>
      <c r="D68" s="8" t="s">
        <v>108</v>
      </c>
      <c r="E68" s="8" t="s">
        <v>109</v>
      </c>
      <c r="F68" s="8">
        <v>13437</v>
      </c>
      <c r="G68" s="11">
        <v>-19.4066148</v>
      </c>
      <c r="H68" s="11">
        <v>146.81662309999999</v>
      </c>
      <c r="I68" s="12">
        <v>11.229381999999999</v>
      </c>
      <c r="J68" s="9">
        <f t="shared" si="10"/>
        <v>6</v>
      </c>
      <c r="K68" s="33">
        <f t="shared" si="11"/>
        <v>0.53431257392437093</v>
      </c>
      <c r="L68" s="31">
        <f t="shared" si="12"/>
        <v>0</v>
      </c>
      <c r="M68" s="31">
        <f t="shared" si="13"/>
        <v>0.81481481481481477</v>
      </c>
      <c r="N68" s="29">
        <f t="shared" si="14"/>
        <v>0.81481481481481477</v>
      </c>
      <c r="O68" s="14">
        <v>9</v>
      </c>
      <c r="P68" s="13"/>
      <c r="Q68" s="13"/>
      <c r="R68" s="13"/>
      <c r="S68" s="13"/>
      <c r="T68" s="14">
        <v>2</v>
      </c>
      <c r="U68" s="8"/>
      <c r="V68" s="8"/>
      <c r="W68" s="13"/>
      <c r="X68" s="8"/>
      <c r="Y68" s="8"/>
      <c r="Z68" s="8"/>
      <c r="AA68" s="13"/>
      <c r="AB68" s="13"/>
      <c r="AC68" s="8"/>
      <c r="AD68" s="13"/>
      <c r="AE68" s="13"/>
      <c r="AF68" s="13"/>
      <c r="AG68" s="13"/>
      <c r="AH68" s="13"/>
      <c r="AI68" s="13"/>
      <c r="AJ68" s="8"/>
      <c r="AK68" s="13"/>
      <c r="AL68" s="13"/>
      <c r="AM68" s="13"/>
      <c r="AN68" s="8"/>
      <c r="AO68" s="13"/>
      <c r="AP68" s="13"/>
      <c r="AQ68" s="13"/>
      <c r="AR68" s="8"/>
      <c r="AS68" s="13"/>
      <c r="AT68" s="13"/>
      <c r="AU68" s="14">
        <v>4</v>
      </c>
      <c r="AV68" s="8"/>
      <c r="AW68" s="8"/>
      <c r="AX68" s="8"/>
      <c r="AY68" s="13"/>
      <c r="AZ68" s="13"/>
      <c r="BA68" s="14">
        <v>3</v>
      </c>
      <c r="BB68" s="14">
        <v>1</v>
      </c>
      <c r="BC68" s="8"/>
      <c r="BD68" s="13"/>
      <c r="BE68" s="13"/>
      <c r="BF68" s="14">
        <v>1</v>
      </c>
      <c r="BG68" s="8"/>
      <c r="BH68" s="13"/>
      <c r="BI68" s="8"/>
      <c r="BJ68" s="8"/>
      <c r="BK68" s="13"/>
      <c r="BL68" s="8"/>
      <c r="BM68" s="13"/>
      <c r="BN68" s="8"/>
      <c r="BO68" s="13"/>
      <c r="BP68" s="8"/>
      <c r="BQ68" s="13"/>
      <c r="BR68" s="8"/>
      <c r="BS68" s="13"/>
      <c r="BT68" s="14">
        <v>86</v>
      </c>
      <c r="BU68" s="13"/>
      <c r="BV68" s="14">
        <v>2</v>
      </c>
      <c r="BW68" s="13"/>
      <c r="BX68" s="13"/>
    </row>
    <row r="69" spans="1:85" x14ac:dyDescent="0.25">
      <c r="A69" s="8" t="s">
        <v>107</v>
      </c>
      <c r="B69" s="9">
        <v>3</v>
      </c>
      <c r="C69" s="10">
        <v>45898</v>
      </c>
      <c r="D69" s="8" t="s">
        <v>108</v>
      </c>
      <c r="E69" s="8" t="s">
        <v>109</v>
      </c>
      <c r="F69" s="8">
        <v>13437</v>
      </c>
      <c r="G69" s="15">
        <v>-19.406610000000001</v>
      </c>
      <c r="H69" s="15">
        <v>146.81662</v>
      </c>
      <c r="I69" s="16">
        <v>11.229381999999999</v>
      </c>
      <c r="J69" s="17">
        <f t="shared" si="10"/>
        <v>5</v>
      </c>
      <c r="K69" s="33">
        <f t="shared" si="11"/>
        <v>0.44526047827030912</v>
      </c>
      <c r="L69" s="31">
        <f t="shared" si="12"/>
        <v>0</v>
      </c>
      <c r="M69" s="31">
        <f t="shared" si="13"/>
        <v>0.52459016393442626</v>
      </c>
      <c r="N69" s="29">
        <f t="shared" si="14"/>
        <v>0.52459016393442626</v>
      </c>
      <c r="O69" s="14">
        <v>10</v>
      </c>
      <c r="P69" s="13"/>
      <c r="Q69" s="13"/>
      <c r="R69" s="13"/>
      <c r="S69" s="13"/>
      <c r="T69" s="14">
        <v>3</v>
      </c>
      <c r="U69" s="8"/>
      <c r="V69" s="8"/>
      <c r="W69" s="13"/>
      <c r="X69" s="8"/>
      <c r="Y69" s="8"/>
      <c r="Z69" s="8"/>
      <c r="AA69" s="13"/>
      <c r="AB69" s="13"/>
      <c r="AC69" s="8"/>
      <c r="AD69" s="14">
        <v>2</v>
      </c>
      <c r="AE69" s="13"/>
      <c r="AF69" s="13"/>
      <c r="AG69" s="13"/>
      <c r="AH69" s="13"/>
      <c r="AI69" s="13"/>
      <c r="AJ69" s="8"/>
      <c r="AK69" s="13"/>
      <c r="AL69" s="13"/>
      <c r="AM69" s="13"/>
      <c r="AN69" s="8"/>
      <c r="AO69" s="13"/>
      <c r="AP69" s="13"/>
      <c r="AQ69" s="13"/>
      <c r="AR69" s="8"/>
      <c r="AS69" s="14">
        <v>5</v>
      </c>
      <c r="AT69" s="13"/>
      <c r="AU69" s="14">
        <v>9</v>
      </c>
      <c r="AV69" s="8"/>
      <c r="AW69" s="8"/>
      <c r="AX69" s="8"/>
      <c r="AY69" s="13"/>
      <c r="AZ69" s="13"/>
      <c r="BA69" s="13"/>
      <c r="BB69" s="13"/>
      <c r="BC69" s="8"/>
      <c r="BD69" s="13"/>
      <c r="BE69" s="13"/>
      <c r="BF69" s="13"/>
      <c r="BG69" s="8"/>
      <c r="BH69" s="13"/>
      <c r="BI69" s="8"/>
      <c r="BJ69" s="8"/>
      <c r="BK69" s="13"/>
      <c r="BL69" s="8"/>
      <c r="BM69" s="13"/>
      <c r="BN69" s="8"/>
      <c r="BO69" s="13"/>
      <c r="BP69" s="8"/>
      <c r="BQ69" s="13"/>
      <c r="BR69" s="8"/>
      <c r="BS69" s="13"/>
      <c r="BT69" s="13"/>
      <c r="BU69" s="14">
        <v>1</v>
      </c>
      <c r="BV69" s="14">
        <v>31</v>
      </c>
      <c r="BW69" s="13"/>
      <c r="BX69" s="13"/>
    </row>
    <row r="70" spans="1:85" s="8" customFormat="1" x14ac:dyDescent="0.25">
      <c r="A70" s="8" t="s">
        <v>295</v>
      </c>
      <c r="B70" s="9">
        <v>3</v>
      </c>
      <c r="C70" s="10">
        <v>45905</v>
      </c>
      <c r="D70" s="10" t="s">
        <v>296</v>
      </c>
      <c r="E70" s="10" t="s">
        <v>297</v>
      </c>
      <c r="F70" s="8">
        <v>8988</v>
      </c>
      <c r="G70" s="15">
        <v>-19.255972</v>
      </c>
      <c r="H70" s="15">
        <v>146.67387199999999</v>
      </c>
      <c r="I70" s="16">
        <v>12.728336000000001</v>
      </c>
      <c r="J70" s="17">
        <f t="shared" si="10"/>
        <v>4</v>
      </c>
      <c r="K70" s="33">
        <f t="shared" si="11"/>
        <v>0.31425946015252898</v>
      </c>
      <c r="L70" s="31">
        <f t="shared" si="12"/>
        <v>0</v>
      </c>
      <c r="M70" s="31">
        <f t="shared" si="13"/>
        <v>0.43143812709030099</v>
      </c>
      <c r="N70" s="29">
        <f t="shared" si="14"/>
        <v>0.43143812709030099</v>
      </c>
      <c r="O70" s="14">
        <v>48</v>
      </c>
      <c r="P70" s="13"/>
      <c r="Q70" s="13"/>
      <c r="R70" s="13"/>
      <c r="S70" s="13"/>
      <c r="T70" s="13"/>
      <c r="W70" s="13"/>
      <c r="AA70" s="13"/>
      <c r="AB70" s="13"/>
      <c r="AD70" s="13"/>
      <c r="AE70" s="13"/>
      <c r="AF70" s="13"/>
      <c r="AG70" s="13"/>
      <c r="AH70" s="13"/>
      <c r="AI70" s="13"/>
      <c r="AK70" s="13"/>
      <c r="AL70" s="13"/>
      <c r="AM70" s="13"/>
      <c r="AO70" s="14">
        <v>26</v>
      </c>
      <c r="AP70" s="13"/>
      <c r="AQ70" s="13"/>
      <c r="AS70" s="14">
        <v>37</v>
      </c>
      <c r="AT70" s="13"/>
      <c r="AU70" s="14">
        <v>229</v>
      </c>
      <c r="AY70" s="13"/>
      <c r="AZ70" s="13"/>
      <c r="BA70" s="13"/>
      <c r="BB70" s="13"/>
      <c r="BD70" s="13"/>
      <c r="BE70" s="13"/>
      <c r="BF70" s="13"/>
      <c r="BH70" s="13"/>
      <c r="BK70" s="13"/>
      <c r="BM70" s="13"/>
      <c r="BO70" s="13"/>
      <c r="BQ70" s="13"/>
      <c r="BS70" s="13"/>
      <c r="BT70" s="14">
        <v>61</v>
      </c>
      <c r="BU70" s="14">
        <v>123</v>
      </c>
      <c r="BV70" s="13"/>
      <c r="BW70" s="13"/>
      <c r="BX70" s="14">
        <v>74</v>
      </c>
      <c r="BY70"/>
      <c r="BZ70"/>
      <c r="CA70"/>
      <c r="CB70"/>
      <c r="CC70"/>
      <c r="CD70"/>
      <c r="CE70"/>
      <c r="CF70"/>
      <c r="CG70"/>
    </row>
    <row r="71" spans="1:85" s="8" customFormat="1" x14ac:dyDescent="0.25">
      <c r="A71" t="s">
        <v>276</v>
      </c>
      <c r="B71" s="18">
        <v>3</v>
      </c>
      <c r="C71" s="19">
        <v>45904</v>
      </c>
      <c r="D71" s="19" t="s">
        <v>277</v>
      </c>
      <c r="E71" s="19" t="s">
        <v>278</v>
      </c>
      <c r="F71">
        <v>19132</v>
      </c>
      <c r="G71" s="20">
        <v>-19.315373000000001</v>
      </c>
      <c r="H71" s="20">
        <v>146.58743100000001</v>
      </c>
      <c r="I71" s="21">
        <v>10.839290999999999</v>
      </c>
      <c r="J71" s="22">
        <f t="shared" si="10"/>
        <v>5</v>
      </c>
      <c r="K71" s="34">
        <f t="shared" si="11"/>
        <v>0.46128478329440553</v>
      </c>
      <c r="L71" s="32">
        <f t="shared" si="12"/>
        <v>0</v>
      </c>
      <c r="M71" s="32">
        <f t="shared" si="13"/>
        <v>7.0921985815602835E-3</v>
      </c>
      <c r="N71" s="30">
        <f t="shared" si="14"/>
        <v>7.0921985815602835E-3</v>
      </c>
      <c r="O71" s="23"/>
      <c r="P71" s="23"/>
      <c r="Q71" s="24">
        <v>1</v>
      </c>
      <c r="R71" s="23"/>
      <c r="S71" s="23"/>
      <c r="T71" s="23"/>
      <c r="U71"/>
      <c r="V71"/>
      <c r="W71" s="24">
        <v>3</v>
      </c>
      <c r="X71"/>
      <c r="Y71"/>
      <c r="Z71"/>
      <c r="AA71" s="23"/>
      <c r="AB71" s="23"/>
      <c r="AC71"/>
      <c r="AD71" s="23"/>
      <c r="AE71" s="23"/>
      <c r="AF71" s="23"/>
      <c r="AG71" s="23"/>
      <c r="AH71" s="23"/>
      <c r="AI71" s="23"/>
      <c r="AJ71"/>
      <c r="AK71" s="23"/>
      <c r="AL71" s="23"/>
      <c r="AM71" s="23"/>
      <c r="AN71"/>
      <c r="AO71" s="24">
        <v>42</v>
      </c>
      <c r="AP71" s="23"/>
      <c r="AQ71" s="23"/>
      <c r="AR71"/>
      <c r="AS71" s="24">
        <v>13</v>
      </c>
      <c r="AT71" s="23"/>
      <c r="AU71" s="24">
        <v>81</v>
      </c>
      <c r="AV71"/>
      <c r="AW71"/>
      <c r="AX71"/>
      <c r="AY71" s="23"/>
      <c r="AZ71" s="23"/>
      <c r="BA71" s="23"/>
      <c r="BB71" s="23"/>
      <c r="BC71"/>
      <c r="BD71" s="23"/>
      <c r="BE71" s="23"/>
      <c r="BF71" s="23"/>
      <c r="BG71"/>
      <c r="BH71" s="23"/>
      <c r="BI71"/>
      <c r="BJ71"/>
      <c r="BK71" s="23"/>
      <c r="BL71"/>
      <c r="BM71" s="23"/>
      <c r="BN71"/>
      <c r="BO71" s="23"/>
      <c r="BP71"/>
      <c r="BQ71" s="23"/>
      <c r="BR71"/>
      <c r="BS71" s="23"/>
      <c r="BT71" s="23"/>
      <c r="BU71" s="23"/>
      <c r="BV71" s="24">
        <v>1</v>
      </c>
      <c r="BW71" s="23"/>
      <c r="BX71" s="23"/>
      <c r="BY71"/>
      <c r="BZ71"/>
      <c r="CA71"/>
      <c r="CB71"/>
      <c r="CC71"/>
      <c r="CD71"/>
      <c r="CE71"/>
      <c r="CF71"/>
      <c r="CG71"/>
    </row>
    <row r="72" spans="1:85" s="8" customFormat="1" x14ac:dyDescent="0.25">
      <c r="A72" s="8" t="s">
        <v>119</v>
      </c>
      <c r="B72" s="9">
        <v>1</v>
      </c>
      <c r="C72" s="10">
        <v>43699</v>
      </c>
      <c r="D72" s="8" t="s">
        <v>120</v>
      </c>
      <c r="E72" s="8" t="s">
        <v>121</v>
      </c>
      <c r="F72" s="8">
        <v>9220</v>
      </c>
      <c r="G72" s="11">
        <v>-19.2483848</v>
      </c>
      <c r="H72" s="11">
        <v>146.66605569999999</v>
      </c>
      <c r="I72" s="12">
        <v>11.874110999999999</v>
      </c>
      <c r="J72" s="9">
        <f t="shared" si="10"/>
        <v>7</v>
      </c>
      <c r="K72" s="33">
        <f t="shared" si="11"/>
        <v>0.58951781737597031</v>
      </c>
      <c r="L72" s="31">
        <f t="shared" si="12"/>
        <v>0</v>
      </c>
      <c r="M72" s="31">
        <f t="shared" si="13"/>
        <v>0.32845894263217096</v>
      </c>
      <c r="N72" s="29">
        <f t="shared" si="14"/>
        <v>0.32845894263217096</v>
      </c>
      <c r="O72" s="14">
        <v>150</v>
      </c>
      <c r="P72" s="13"/>
      <c r="Q72" s="13"/>
      <c r="R72" s="13"/>
      <c r="S72" s="13"/>
      <c r="T72" s="13"/>
      <c r="W72" s="13"/>
      <c r="AA72" s="13"/>
      <c r="AB72" s="13"/>
      <c r="AD72" s="14">
        <v>4</v>
      </c>
      <c r="AE72" s="13"/>
      <c r="AF72" s="13"/>
      <c r="AG72" s="13"/>
      <c r="AH72" s="13"/>
      <c r="AI72" s="13"/>
      <c r="AK72" s="14">
        <v>1</v>
      </c>
      <c r="AL72" s="13"/>
      <c r="AM72" s="13"/>
      <c r="AO72" s="14">
        <v>106</v>
      </c>
      <c r="AP72" s="13"/>
      <c r="AQ72" s="13"/>
      <c r="AS72" s="14">
        <v>60</v>
      </c>
      <c r="AT72" s="13"/>
      <c r="AU72" s="14">
        <v>272</v>
      </c>
      <c r="AY72" s="13"/>
      <c r="AZ72" s="14">
        <v>4</v>
      </c>
      <c r="BA72" s="13"/>
      <c r="BB72" s="13"/>
      <c r="BD72" s="13"/>
      <c r="BE72" s="13"/>
      <c r="BF72" s="13"/>
      <c r="BH72" s="13"/>
      <c r="BK72" s="13"/>
      <c r="BM72" s="13"/>
      <c r="BO72" s="13"/>
      <c r="BQ72" s="13"/>
      <c r="BS72" s="13"/>
      <c r="BT72" s="14">
        <v>17</v>
      </c>
      <c r="BU72" s="14">
        <v>275</v>
      </c>
      <c r="BV72" s="13"/>
      <c r="BW72" s="13"/>
      <c r="BX72" s="13"/>
      <c r="BY72"/>
      <c r="BZ72"/>
      <c r="CA72"/>
      <c r="CB72"/>
      <c r="CC72"/>
      <c r="CD72"/>
      <c r="CE72"/>
      <c r="CF72"/>
      <c r="CG72"/>
    </row>
    <row r="73" spans="1:85" x14ac:dyDescent="0.25">
      <c r="A73" s="8" t="s">
        <v>119</v>
      </c>
      <c r="B73" s="9">
        <v>2</v>
      </c>
      <c r="C73" s="10">
        <v>44818</v>
      </c>
      <c r="D73" s="8" t="s">
        <v>120</v>
      </c>
      <c r="E73" s="8" t="s">
        <v>121</v>
      </c>
      <c r="F73" s="8">
        <v>9220</v>
      </c>
      <c r="G73" s="11">
        <v>-19.2483848</v>
      </c>
      <c r="H73" s="11">
        <v>146.66605569999999</v>
      </c>
      <c r="I73" s="12">
        <v>11.874110999999999</v>
      </c>
      <c r="J73" s="9">
        <f t="shared" si="10"/>
        <v>3</v>
      </c>
      <c r="K73" s="33">
        <f t="shared" si="11"/>
        <v>0.25265049316113014</v>
      </c>
      <c r="L73" s="31">
        <f t="shared" si="12"/>
        <v>0</v>
      </c>
      <c r="M73" s="31">
        <f t="shared" si="13"/>
        <v>0.76744186046511631</v>
      </c>
      <c r="N73" s="29">
        <f t="shared" si="14"/>
        <v>0.76744186046511631</v>
      </c>
      <c r="O73" s="14">
        <v>11</v>
      </c>
      <c r="P73" s="13"/>
      <c r="Q73" s="13"/>
      <c r="R73" s="13"/>
      <c r="S73" s="13"/>
      <c r="T73" s="13"/>
      <c r="U73" s="8"/>
      <c r="V73" s="8"/>
      <c r="W73" s="13"/>
      <c r="X73" s="8"/>
      <c r="Y73" s="8"/>
      <c r="Z73" s="8"/>
      <c r="AA73" s="13"/>
      <c r="AB73" s="13"/>
      <c r="AC73" s="8"/>
      <c r="AD73" s="13"/>
      <c r="AE73" s="13"/>
      <c r="AF73" s="13"/>
      <c r="AG73" s="13"/>
      <c r="AH73" s="13"/>
      <c r="AI73" s="13"/>
      <c r="AJ73" s="8"/>
      <c r="AK73" s="13"/>
      <c r="AL73" s="13"/>
      <c r="AM73" s="13"/>
      <c r="AN73" s="8"/>
      <c r="AO73" s="13"/>
      <c r="AP73" s="13"/>
      <c r="AQ73" s="13"/>
      <c r="AR73" s="8"/>
      <c r="AS73" s="14">
        <v>14</v>
      </c>
      <c r="AT73" s="13"/>
      <c r="AU73" s="14">
        <v>15</v>
      </c>
      <c r="AV73" s="8"/>
      <c r="AW73" s="8"/>
      <c r="AX73" s="8"/>
      <c r="AY73" s="13"/>
      <c r="AZ73" s="13"/>
      <c r="BA73" s="13"/>
      <c r="BB73" s="13"/>
      <c r="BC73" s="8"/>
      <c r="BD73" s="13"/>
      <c r="BE73" s="13"/>
      <c r="BF73" s="13"/>
      <c r="BG73" s="8"/>
      <c r="BH73" s="13"/>
      <c r="BI73" s="8"/>
      <c r="BJ73" s="8"/>
      <c r="BK73" s="13"/>
      <c r="BL73" s="8"/>
      <c r="BM73" s="13"/>
      <c r="BN73" s="8"/>
      <c r="BO73" s="13"/>
      <c r="BP73" s="8"/>
      <c r="BQ73" s="13"/>
      <c r="BR73" s="8"/>
      <c r="BS73" s="13"/>
      <c r="BT73" s="14">
        <v>94</v>
      </c>
      <c r="BU73" s="14">
        <v>8</v>
      </c>
      <c r="BV73" s="13"/>
      <c r="BW73" s="13"/>
      <c r="BX73" s="14">
        <v>30</v>
      </c>
    </row>
    <row r="74" spans="1:85" x14ac:dyDescent="0.25">
      <c r="A74" s="8" t="s">
        <v>298</v>
      </c>
      <c r="B74" s="9">
        <v>3</v>
      </c>
      <c r="C74" s="10">
        <v>45902</v>
      </c>
      <c r="D74" s="10" t="s">
        <v>120</v>
      </c>
      <c r="E74" s="10" t="s">
        <v>299</v>
      </c>
      <c r="F74" s="8">
        <v>6390</v>
      </c>
      <c r="G74" s="15">
        <v>-19.373273999999999</v>
      </c>
      <c r="H74" s="15">
        <v>146.835961</v>
      </c>
      <c r="I74" s="16">
        <v>10.251226000000001</v>
      </c>
      <c r="J74" s="17">
        <f t="shared" si="10"/>
        <v>5</v>
      </c>
      <c r="K74" s="33">
        <f t="shared" si="11"/>
        <v>0.48774653880423663</v>
      </c>
      <c r="L74" s="31">
        <f t="shared" si="12"/>
        <v>0</v>
      </c>
      <c r="M74" s="31">
        <f t="shared" si="13"/>
        <v>0</v>
      </c>
      <c r="N74" s="29">
        <f t="shared" si="14"/>
        <v>0</v>
      </c>
      <c r="O74" s="13"/>
      <c r="P74" s="13"/>
      <c r="Q74" s="14">
        <v>8</v>
      </c>
      <c r="R74" s="13"/>
      <c r="S74" s="13"/>
      <c r="T74" s="13"/>
      <c r="U74" s="8"/>
      <c r="V74" s="8"/>
      <c r="W74" s="14">
        <v>25</v>
      </c>
      <c r="X74" s="8"/>
      <c r="Y74" s="8"/>
      <c r="Z74" s="8"/>
      <c r="AA74" s="13"/>
      <c r="AB74" s="13"/>
      <c r="AC74" s="8"/>
      <c r="AD74" s="13"/>
      <c r="AE74" s="13"/>
      <c r="AF74" s="13"/>
      <c r="AG74" s="13"/>
      <c r="AH74" s="13"/>
      <c r="AI74" s="13"/>
      <c r="AJ74" s="8"/>
      <c r="AK74" s="13"/>
      <c r="AL74" s="13"/>
      <c r="AM74" s="13"/>
      <c r="AN74" s="8"/>
      <c r="AO74" s="14">
        <v>234</v>
      </c>
      <c r="AP74" s="13"/>
      <c r="AQ74" s="13"/>
      <c r="AR74" s="8"/>
      <c r="AS74" s="14">
        <v>19</v>
      </c>
      <c r="AT74" s="13"/>
      <c r="AU74" s="14">
        <v>71</v>
      </c>
      <c r="AV74" s="8"/>
      <c r="AW74" s="8"/>
      <c r="AX74" s="8"/>
      <c r="AY74" s="13"/>
      <c r="AZ74" s="13"/>
      <c r="BA74" s="13"/>
      <c r="BB74" s="13"/>
      <c r="BC74" s="8"/>
      <c r="BD74" s="13"/>
      <c r="BE74" s="13"/>
      <c r="BF74" s="13"/>
      <c r="BG74" s="8"/>
      <c r="BH74" s="13"/>
      <c r="BI74" s="8"/>
      <c r="BJ74" s="8"/>
      <c r="BK74" s="13"/>
      <c r="BL74" s="8"/>
      <c r="BM74" s="13"/>
      <c r="BN74" s="8"/>
      <c r="BO74" s="13"/>
      <c r="BP74" s="8"/>
      <c r="BQ74" s="13"/>
      <c r="BR74" s="8"/>
      <c r="BS74" s="13"/>
      <c r="BT74" s="13"/>
      <c r="BU74" s="13"/>
      <c r="BV74" s="13"/>
      <c r="BW74" s="13"/>
      <c r="BX74" s="13"/>
    </row>
    <row r="75" spans="1:85" s="8" customFormat="1" x14ac:dyDescent="0.25">
      <c r="A75" t="s">
        <v>113</v>
      </c>
      <c r="B75" s="18">
        <v>1</v>
      </c>
      <c r="C75" s="19">
        <v>43698</v>
      </c>
      <c r="D75" t="s">
        <v>114</v>
      </c>
      <c r="E75" t="s">
        <v>115</v>
      </c>
      <c r="F75">
        <v>19128</v>
      </c>
      <c r="G75" s="25">
        <v>-19.367770100000001</v>
      </c>
      <c r="H75" s="25">
        <v>146.84496129999999</v>
      </c>
      <c r="I75" s="26">
        <v>12.172958</v>
      </c>
      <c r="J75" s="18">
        <f t="shared" si="10"/>
        <v>7</v>
      </c>
      <c r="K75" s="34">
        <f t="shared" si="11"/>
        <v>0.57504511228905908</v>
      </c>
      <c r="L75" s="32">
        <f t="shared" si="12"/>
        <v>0</v>
      </c>
      <c r="M75" s="32">
        <f t="shared" si="13"/>
        <v>4.1269841269841269E-2</v>
      </c>
      <c r="N75" s="30">
        <f t="shared" si="14"/>
        <v>4.1269841269841269E-2</v>
      </c>
      <c r="O75" s="24">
        <v>2</v>
      </c>
      <c r="P75" s="23"/>
      <c r="Q75" s="24">
        <v>1</v>
      </c>
      <c r="R75" s="23"/>
      <c r="S75" s="23"/>
      <c r="T75" s="24">
        <v>14</v>
      </c>
      <c r="U75"/>
      <c r="V75"/>
      <c r="W75" s="23"/>
      <c r="X75"/>
      <c r="Y75"/>
      <c r="Z75"/>
      <c r="AA75" s="23"/>
      <c r="AB75" s="23"/>
      <c r="AC75"/>
      <c r="AD75" s="23"/>
      <c r="AE75" s="23"/>
      <c r="AF75" s="23"/>
      <c r="AG75" s="23"/>
      <c r="AH75" s="23"/>
      <c r="AI75" s="23"/>
      <c r="AJ75"/>
      <c r="AK75" s="23"/>
      <c r="AL75" s="23"/>
      <c r="AM75" s="23"/>
      <c r="AN75"/>
      <c r="AO75" s="23"/>
      <c r="AP75" s="23"/>
      <c r="AQ75" s="23"/>
      <c r="AR75"/>
      <c r="AS75" s="24">
        <v>31</v>
      </c>
      <c r="AT75" s="23"/>
      <c r="AU75" s="24">
        <v>251</v>
      </c>
      <c r="AV75"/>
      <c r="AW75"/>
      <c r="AX75"/>
      <c r="AY75" s="23"/>
      <c r="AZ75" s="24">
        <v>2</v>
      </c>
      <c r="BA75" s="23"/>
      <c r="BB75" s="24">
        <v>1</v>
      </c>
      <c r="BC75"/>
      <c r="BD75" s="23"/>
      <c r="BE75" s="23"/>
      <c r="BF75" s="23"/>
      <c r="BG75"/>
      <c r="BH75" s="23"/>
      <c r="BI75"/>
      <c r="BJ75"/>
      <c r="BK75" s="23"/>
      <c r="BL75"/>
      <c r="BM75" s="23"/>
      <c r="BN75"/>
      <c r="BO75" s="23"/>
      <c r="BP75"/>
      <c r="BQ75" s="23"/>
      <c r="BR75"/>
      <c r="BS75" s="23"/>
      <c r="BT75" s="24">
        <v>2</v>
      </c>
      <c r="BU75" s="24">
        <v>11</v>
      </c>
      <c r="BV75" s="23"/>
      <c r="BW75" s="23"/>
      <c r="BX75" s="23"/>
      <c r="BY75"/>
      <c r="BZ75"/>
      <c r="CA75"/>
      <c r="CB75"/>
      <c r="CC75"/>
      <c r="CD75"/>
      <c r="CE75"/>
      <c r="CF75"/>
      <c r="CG75"/>
    </row>
    <row r="76" spans="1:85" x14ac:dyDescent="0.25">
      <c r="A76" t="s">
        <v>113</v>
      </c>
      <c r="B76" s="18">
        <v>2</v>
      </c>
      <c r="C76" s="19">
        <v>44817</v>
      </c>
      <c r="D76" t="s">
        <v>114</v>
      </c>
      <c r="E76" t="s">
        <v>115</v>
      </c>
      <c r="F76">
        <v>19128</v>
      </c>
      <c r="G76" s="25">
        <v>-19.367770100000001</v>
      </c>
      <c r="H76" s="25">
        <v>146.84496129999999</v>
      </c>
      <c r="I76" s="26">
        <v>12.172958</v>
      </c>
      <c r="J76" s="18">
        <f t="shared" si="10"/>
        <v>9</v>
      </c>
      <c r="K76" s="34">
        <f t="shared" si="11"/>
        <v>0.73934371580021885</v>
      </c>
      <c r="L76" s="32">
        <f t="shared" si="12"/>
        <v>0</v>
      </c>
      <c r="M76" s="32">
        <f t="shared" si="13"/>
        <v>0.20430107526881722</v>
      </c>
      <c r="N76" s="30">
        <f t="shared" si="14"/>
        <v>0.20430107526881722</v>
      </c>
      <c r="O76" s="24">
        <v>36</v>
      </c>
      <c r="P76" s="24">
        <v>1</v>
      </c>
      <c r="Q76" s="24">
        <v>5</v>
      </c>
      <c r="R76" s="23"/>
      <c r="S76" s="23"/>
      <c r="T76" s="24">
        <v>15</v>
      </c>
      <c r="W76" s="24">
        <v>6</v>
      </c>
      <c r="AA76" s="23"/>
      <c r="AB76" s="23"/>
      <c r="AD76" s="24">
        <v>8</v>
      </c>
      <c r="AE76" s="23"/>
      <c r="AF76" s="23"/>
      <c r="AG76" s="23"/>
      <c r="AH76" s="23"/>
      <c r="AI76" s="23"/>
      <c r="AK76" s="23"/>
      <c r="AL76" s="23"/>
      <c r="AM76" s="23"/>
      <c r="AO76" s="24">
        <v>6</v>
      </c>
      <c r="AP76" s="23"/>
      <c r="AQ76" s="23"/>
      <c r="AS76" s="24">
        <v>52</v>
      </c>
      <c r="AT76" s="23"/>
      <c r="AU76" s="24">
        <v>19</v>
      </c>
      <c r="AY76" s="23"/>
      <c r="AZ76" s="23"/>
      <c r="BA76" s="23"/>
      <c r="BB76" s="23"/>
      <c r="BD76" s="23"/>
      <c r="BE76" s="23"/>
      <c r="BF76" s="23"/>
      <c r="BH76" s="23"/>
      <c r="BK76" s="23"/>
      <c r="BM76" s="23"/>
      <c r="BO76" s="23"/>
      <c r="BQ76" s="23"/>
      <c r="BS76" s="23"/>
      <c r="BT76" s="24">
        <v>7</v>
      </c>
      <c r="BU76" s="24">
        <v>31</v>
      </c>
      <c r="BV76" s="23"/>
      <c r="BW76" s="23"/>
      <c r="BX76" s="23"/>
    </row>
    <row r="77" spans="1:85" s="8" customFormat="1" x14ac:dyDescent="0.25">
      <c r="A77" t="s">
        <v>113</v>
      </c>
      <c r="B77" s="18">
        <v>3</v>
      </c>
      <c r="C77" s="19">
        <v>45902</v>
      </c>
      <c r="D77" t="s">
        <v>114</v>
      </c>
      <c r="E77" t="s">
        <v>115</v>
      </c>
      <c r="F77">
        <v>19128</v>
      </c>
      <c r="G77" s="20">
        <v>-19.36758</v>
      </c>
      <c r="H77" s="20">
        <v>146.84482299999999</v>
      </c>
      <c r="I77" s="21">
        <v>12.172958</v>
      </c>
      <c r="J77" s="22">
        <f t="shared" si="10"/>
        <v>8</v>
      </c>
      <c r="K77" s="34">
        <f t="shared" si="11"/>
        <v>0.65719441404463896</v>
      </c>
      <c r="L77" s="32">
        <f t="shared" si="12"/>
        <v>0</v>
      </c>
      <c r="M77" s="32">
        <f t="shared" si="13"/>
        <v>6.7010309278350513E-2</v>
      </c>
      <c r="N77" s="30">
        <f t="shared" si="14"/>
        <v>6.7010309278350513E-2</v>
      </c>
      <c r="O77" s="24">
        <v>7</v>
      </c>
      <c r="P77" s="23"/>
      <c r="Q77" s="24">
        <v>10</v>
      </c>
      <c r="R77" s="23"/>
      <c r="S77" s="23"/>
      <c r="T77" s="24">
        <v>8</v>
      </c>
      <c r="U77"/>
      <c r="V77"/>
      <c r="W77" s="24">
        <v>23</v>
      </c>
      <c r="X77"/>
      <c r="Y77"/>
      <c r="Z77"/>
      <c r="AA77" s="23"/>
      <c r="AB77" s="23"/>
      <c r="AC77"/>
      <c r="AD77" s="23"/>
      <c r="AE77" s="23"/>
      <c r="AF77" s="23"/>
      <c r="AG77" s="23"/>
      <c r="AH77" s="23"/>
      <c r="AI77" s="23"/>
      <c r="AJ77"/>
      <c r="AK77" s="23"/>
      <c r="AL77" s="24">
        <v>2</v>
      </c>
      <c r="AM77" s="23"/>
      <c r="AN77"/>
      <c r="AO77" s="24">
        <v>98</v>
      </c>
      <c r="AP77" s="23"/>
      <c r="AQ77" s="23"/>
      <c r="AR77"/>
      <c r="AS77" s="24">
        <v>13</v>
      </c>
      <c r="AT77" s="23"/>
      <c r="AU77" s="24">
        <v>20</v>
      </c>
      <c r="AV77"/>
      <c r="AW77"/>
      <c r="AX77"/>
      <c r="AY77" s="23"/>
      <c r="AZ77" s="23"/>
      <c r="BA77" s="23"/>
      <c r="BB77" s="23"/>
      <c r="BC77"/>
      <c r="BD77" s="23"/>
      <c r="BE77" s="23"/>
      <c r="BF77" s="23"/>
      <c r="BG77"/>
      <c r="BH77" s="23"/>
      <c r="BI77"/>
      <c r="BJ77"/>
      <c r="BK77" s="23"/>
      <c r="BL77"/>
      <c r="BM77" s="23"/>
      <c r="BN77"/>
      <c r="BO77" s="23"/>
      <c r="BP77"/>
      <c r="BQ77" s="23"/>
      <c r="BR77"/>
      <c r="BS77" s="23"/>
      <c r="BT77" s="24">
        <v>1</v>
      </c>
      <c r="BU77" s="24">
        <v>11</v>
      </c>
      <c r="BV77" s="23"/>
      <c r="BW77" s="23"/>
      <c r="BX77" s="24">
        <v>1</v>
      </c>
      <c r="BY77"/>
      <c r="BZ77"/>
      <c r="CA77"/>
      <c r="CB77"/>
      <c r="CC77"/>
      <c r="CD77"/>
      <c r="CE77"/>
      <c r="CF77"/>
      <c r="CG77"/>
    </row>
    <row r="78" spans="1:85" x14ac:dyDescent="0.25">
      <c r="A78" s="8" t="s">
        <v>92</v>
      </c>
      <c r="B78" s="9">
        <v>2</v>
      </c>
      <c r="C78" s="10">
        <v>44820</v>
      </c>
      <c r="D78" s="8" t="s">
        <v>93</v>
      </c>
      <c r="E78" s="8" t="s">
        <v>94</v>
      </c>
      <c r="F78" s="8">
        <v>12392</v>
      </c>
      <c r="G78" s="11">
        <v>-19.347882999999999</v>
      </c>
      <c r="H78" s="11">
        <v>146.48514499999999</v>
      </c>
      <c r="I78" s="12">
        <v>8.064235</v>
      </c>
      <c r="J78" s="9">
        <f t="shared" si="10"/>
        <v>3</v>
      </c>
      <c r="K78" s="33">
        <f t="shared" si="11"/>
        <v>0.37201296837207742</v>
      </c>
      <c r="L78" s="31">
        <f t="shared" si="12"/>
        <v>0</v>
      </c>
      <c r="M78" s="31">
        <f t="shared" si="13"/>
        <v>0.40677966101694918</v>
      </c>
      <c r="N78" s="29">
        <f t="shared" si="14"/>
        <v>0.40677966101694918</v>
      </c>
      <c r="O78" s="13"/>
      <c r="P78" s="13"/>
      <c r="Q78" s="13"/>
      <c r="R78" s="13"/>
      <c r="S78" s="13"/>
      <c r="T78" s="13"/>
      <c r="U78" s="8"/>
      <c r="V78" s="8"/>
      <c r="W78" s="14">
        <v>29</v>
      </c>
      <c r="X78" s="8"/>
      <c r="Y78" s="8"/>
      <c r="Z78" s="8"/>
      <c r="AA78" s="13"/>
      <c r="AB78" s="13"/>
      <c r="AC78" s="8"/>
      <c r="AD78" s="13"/>
      <c r="AE78" s="13"/>
      <c r="AF78" s="13"/>
      <c r="AG78" s="13"/>
      <c r="AH78" s="13"/>
      <c r="AI78" s="13"/>
      <c r="AJ78" s="8"/>
      <c r="AK78" s="13"/>
      <c r="AL78" s="13"/>
      <c r="AM78" s="13"/>
      <c r="AN78" s="8"/>
      <c r="AO78" s="14">
        <v>4</v>
      </c>
      <c r="AP78" s="13"/>
      <c r="AQ78" s="13"/>
      <c r="AR78" s="8"/>
      <c r="AS78" s="13"/>
      <c r="AT78" s="13"/>
      <c r="AU78" s="14">
        <v>2</v>
      </c>
      <c r="AV78" s="8"/>
      <c r="AW78" s="8"/>
      <c r="AX78" s="8"/>
      <c r="AY78" s="13"/>
      <c r="AZ78" s="13"/>
      <c r="BA78" s="13"/>
      <c r="BB78" s="13"/>
      <c r="BC78" s="8"/>
      <c r="BD78" s="13"/>
      <c r="BE78" s="13"/>
      <c r="BF78" s="13"/>
      <c r="BG78" s="8"/>
      <c r="BH78" s="13"/>
      <c r="BI78" s="8"/>
      <c r="BJ78" s="8"/>
      <c r="BK78" s="13"/>
      <c r="BL78" s="8"/>
      <c r="BM78" s="13"/>
      <c r="BN78" s="8"/>
      <c r="BO78" s="13"/>
      <c r="BP78" s="8"/>
      <c r="BQ78" s="13"/>
      <c r="BR78" s="8"/>
      <c r="BS78" s="13"/>
      <c r="BT78" s="13"/>
      <c r="BU78" s="13"/>
      <c r="BV78" s="14">
        <v>24</v>
      </c>
      <c r="BW78" s="13"/>
      <c r="BX78" s="13"/>
    </row>
    <row r="79" spans="1:85" s="8" customFormat="1" ht="15.75" thickBot="1" x14ac:dyDescent="0.3">
      <c r="A79" s="8" t="s">
        <v>92</v>
      </c>
      <c r="B79" s="9">
        <v>3</v>
      </c>
      <c r="C79" s="10">
        <v>45902</v>
      </c>
      <c r="D79" s="8" t="s">
        <v>93</v>
      </c>
      <c r="E79" s="8" t="s">
        <v>94</v>
      </c>
      <c r="F79" s="8">
        <v>12392</v>
      </c>
      <c r="G79" s="27">
        <v>-19.34788</v>
      </c>
      <c r="H79" s="27">
        <v>146.48515</v>
      </c>
      <c r="I79" s="41">
        <v>8.064235</v>
      </c>
      <c r="J79" s="42">
        <f t="shared" si="10"/>
        <v>4</v>
      </c>
      <c r="K79" s="43">
        <f t="shared" si="11"/>
        <v>0.49601729116276994</v>
      </c>
      <c r="L79" s="35">
        <f t="shared" si="12"/>
        <v>0</v>
      </c>
      <c r="M79" s="35">
        <f t="shared" si="13"/>
        <v>0.5220125786163522</v>
      </c>
      <c r="N79" s="36">
        <f t="shared" si="14"/>
        <v>0.5220125786163522</v>
      </c>
      <c r="O79" s="13"/>
      <c r="P79" s="13"/>
      <c r="Q79" s="14">
        <v>7</v>
      </c>
      <c r="R79" s="13"/>
      <c r="S79" s="13"/>
      <c r="T79" s="13"/>
      <c r="W79" s="14">
        <v>22</v>
      </c>
      <c r="AA79" s="13"/>
      <c r="AB79" s="13"/>
      <c r="AD79" s="13"/>
      <c r="AE79" s="13"/>
      <c r="AF79" s="13"/>
      <c r="AG79" s="13"/>
      <c r="AH79" s="13"/>
      <c r="AI79" s="13"/>
      <c r="AK79" s="13"/>
      <c r="AL79" s="13"/>
      <c r="AM79" s="13"/>
      <c r="AO79" s="14">
        <v>32</v>
      </c>
      <c r="AP79" s="13"/>
      <c r="AQ79" s="13"/>
      <c r="AS79" s="13"/>
      <c r="AT79" s="13"/>
      <c r="AU79" s="14">
        <v>15</v>
      </c>
      <c r="AY79" s="13"/>
      <c r="AZ79" s="13"/>
      <c r="BA79" s="13"/>
      <c r="BB79" s="13"/>
      <c r="BD79" s="13"/>
      <c r="BE79" s="13"/>
      <c r="BF79" s="13"/>
      <c r="BH79" s="13"/>
      <c r="BK79" s="13"/>
      <c r="BM79" s="13"/>
      <c r="BO79" s="13"/>
      <c r="BQ79" s="13"/>
      <c r="BS79" s="13"/>
      <c r="BT79" s="13"/>
      <c r="BU79" s="13"/>
      <c r="BV79" s="14">
        <v>83</v>
      </c>
      <c r="BW79" s="13"/>
      <c r="BX79" s="13"/>
      <c r="BY79"/>
      <c r="BZ79"/>
      <c r="CA79"/>
      <c r="CB79"/>
      <c r="CC79"/>
      <c r="CD79"/>
      <c r="CE79"/>
      <c r="CF79"/>
      <c r="CG79"/>
    </row>
    <row r="82" spans="3:3" x14ac:dyDescent="0.25">
      <c r="C82" s="7"/>
    </row>
  </sheetData>
  <autoFilter ref="A1:BX79" xr:uid="{9039359D-869E-4BD1-B6B9-765BC4F144C2}">
    <sortState xmlns:xlrd2="http://schemas.microsoft.com/office/spreadsheetml/2017/richdata2" ref="A2:BX79">
      <sortCondition ref="D1:D7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200ED-2799-4578-8E8B-7779BB1AEF86}">
  <dimension ref="A1:D83"/>
  <sheetViews>
    <sheetView topLeftCell="A26" workbookViewId="0">
      <selection activeCell="A47" sqref="A47:A48"/>
    </sheetView>
  </sheetViews>
  <sheetFormatPr defaultRowHeight="15" x14ac:dyDescent="0.25"/>
  <cols>
    <col min="1" max="1" width="8.7109375" bestFit="1" customWidth="1"/>
    <col min="2" max="2" width="12.28515625" bestFit="1" customWidth="1"/>
    <col min="3" max="3" width="32" bestFit="1" customWidth="1"/>
    <col min="4" max="4" width="35.140625" bestFit="1" customWidth="1"/>
    <col min="5" max="5" width="8.85546875" bestFit="1" customWidth="1"/>
    <col min="6" max="6" width="16.5703125" bestFit="1" customWidth="1"/>
    <col min="7" max="7" width="16" bestFit="1" customWidth="1"/>
    <col min="8" max="8" width="16.7109375" bestFit="1" customWidth="1"/>
    <col min="9" max="9" width="26.42578125" bestFit="1" customWidth="1"/>
    <col min="10" max="10" width="35.140625" bestFit="1" customWidth="1"/>
  </cols>
  <sheetData>
    <row r="1" spans="1:4" x14ac:dyDescent="0.25">
      <c r="A1" s="1" t="s">
        <v>134</v>
      </c>
      <c r="B1" s="1" t="s">
        <v>139</v>
      </c>
      <c r="C1" s="1" t="s">
        <v>196</v>
      </c>
      <c r="D1" s="1" t="s">
        <v>197</v>
      </c>
    </row>
    <row r="2" spans="1:4" x14ac:dyDescent="0.25">
      <c r="A2" t="s">
        <v>0</v>
      </c>
      <c r="B2" t="s">
        <v>140</v>
      </c>
      <c r="C2" t="s">
        <v>198</v>
      </c>
      <c r="D2" t="s">
        <v>199</v>
      </c>
    </row>
    <row r="3" spans="1:4" x14ac:dyDescent="0.25">
      <c r="A3" t="s">
        <v>1</v>
      </c>
      <c r="B3" t="s">
        <v>140</v>
      </c>
      <c r="C3" t="s">
        <v>200</v>
      </c>
      <c r="D3" t="s">
        <v>145</v>
      </c>
    </row>
    <row r="4" spans="1:4" x14ac:dyDescent="0.25">
      <c r="A4" t="s">
        <v>2</v>
      </c>
      <c r="B4" t="s">
        <v>140</v>
      </c>
      <c r="C4" t="s">
        <v>201</v>
      </c>
      <c r="D4" t="s">
        <v>202</v>
      </c>
    </row>
    <row r="5" spans="1:4" x14ac:dyDescent="0.25">
      <c r="A5" t="s">
        <v>3</v>
      </c>
      <c r="B5" t="s">
        <v>140</v>
      </c>
      <c r="C5" t="s">
        <v>203</v>
      </c>
      <c r="D5" t="s">
        <v>146</v>
      </c>
    </row>
    <row r="6" spans="1:4" x14ac:dyDescent="0.25">
      <c r="A6" t="s">
        <v>4</v>
      </c>
      <c r="B6" t="s">
        <v>140</v>
      </c>
      <c r="C6" t="s">
        <v>204</v>
      </c>
      <c r="D6" t="s">
        <v>147</v>
      </c>
    </row>
    <row r="7" spans="1:4" x14ac:dyDescent="0.25">
      <c r="A7" s="6" t="s">
        <v>5</v>
      </c>
      <c r="B7" t="s">
        <v>142</v>
      </c>
      <c r="C7" t="s">
        <v>205</v>
      </c>
      <c r="D7" t="s">
        <v>206</v>
      </c>
    </row>
    <row r="8" spans="1:4" x14ac:dyDescent="0.25">
      <c r="A8" t="s">
        <v>6</v>
      </c>
      <c r="B8" t="s">
        <v>140</v>
      </c>
      <c r="C8" t="s">
        <v>207</v>
      </c>
      <c r="D8" t="s">
        <v>148</v>
      </c>
    </row>
    <row r="9" spans="1:4" x14ac:dyDescent="0.25">
      <c r="A9" t="s">
        <v>7</v>
      </c>
      <c r="B9" t="s">
        <v>140</v>
      </c>
      <c r="C9" t="s">
        <v>208</v>
      </c>
      <c r="D9" t="s">
        <v>149</v>
      </c>
    </row>
    <row r="10" spans="1:4" x14ac:dyDescent="0.25">
      <c r="A10" t="s">
        <v>8</v>
      </c>
      <c r="B10" t="s">
        <v>140</v>
      </c>
      <c r="C10" t="s">
        <v>209</v>
      </c>
      <c r="D10" t="s">
        <v>150</v>
      </c>
    </row>
    <row r="11" spans="1:4" x14ac:dyDescent="0.25">
      <c r="A11" t="s">
        <v>9</v>
      </c>
      <c r="B11" t="s">
        <v>140</v>
      </c>
      <c r="C11" t="s">
        <v>210</v>
      </c>
      <c r="D11" t="s">
        <v>151</v>
      </c>
    </row>
    <row r="12" spans="1:4" x14ac:dyDescent="0.25">
      <c r="A12" t="s">
        <v>10</v>
      </c>
      <c r="B12" t="s">
        <v>140</v>
      </c>
      <c r="C12" t="s">
        <v>211</v>
      </c>
      <c r="D12" t="s">
        <v>152</v>
      </c>
    </row>
    <row r="13" spans="1:4" x14ac:dyDescent="0.25">
      <c r="A13" t="s">
        <v>11</v>
      </c>
      <c r="B13" t="s">
        <v>140</v>
      </c>
      <c r="C13" t="s">
        <v>212</v>
      </c>
      <c r="D13" t="s">
        <v>153</v>
      </c>
    </row>
    <row r="14" spans="1:4" x14ac:dyDescent="0.25">
      <c r="A14" t="s">
        <v>12</v>
      </c>
      <c r="B14" t="s">
        <v>140</v>
      </c>
      <c r="C14" t="s">
        <v>213</v>
      </c>
      <c r="D14" t="s">
        <v>154</v>
      </c>
    </row>
    <row r="15" spans="1:4" x14ac:dyDescent="0.25">
      <c r="A15" t="s">
        <v>13</v>
      </c>
      <c r="B15" t="s">
        <v>140</v>
      </c>
      <c r="C15" t="s">
        <v>214</v>
      </c>
      <c r="D15" t="s">
        <v>155</v>
      </c>
    </row>
    <row r="16" spans="1:4" x14ac:dyDescent="0.25">
      <c r="A16" t="s">
        <v>14</v>
      </c>
      <c r="B16" t="s">
        <v>140</v>
      </c>
      <c r="C16" t="s">
        <v>215</v>
      </c>
      <c r="D16" t="s">
        <v>156</v>
      </c>
    </row>
    <row r="17" spans="1:4" x14ac:dyDescent="0.25">
      <c r="A17" s="6" t="s">
        <v>15</v>
      </c>
      <c r="B17" t="s">
        <v>142</v>
      </c>
      <c r="C17" t="s">
        <v>216</v>
      </c>
      <c r="D17" t="s">
        <v>157</v>
      </c>
    </row>
    <row r="18" spans="1:4" x14ac:dyDescent="0.25">
      <c r="A18" t="s">
        <v>16</v>
      </c>
      <c r="B18" t="s">
        <v>140</v>
      </c>
      <c r="C18" t="s">
        <v>217</v>
      </c>
      <c r="D18" t="s">
        <v>158</v>
      </c>
    </row>
    <row r="19" spans="1:4" x14ac:dyDescent="0.25">
      <c r="A19" t="s">
        <v>17</v>
      </c>
      <c r="B19" t="s">
        <v>140</v>
      </c>
      <c r="C19" t="s">
        <v>218</v>
      </c>
      <c r="D19" t="s">
        <v>159</v>
      </c>
    </row>
    <row r="20" spans="1:4" x14ac:dyDescent="0.25">
      <c r="A20" t="s">
        <v>18</v>
      </c>
      <c r="B20" t="s">
        <v>140</v>
      </c>
      <c r="C20" t="s">
        <v>219</v>
      </c>
      <c r="D20" t="s">
        <v>160</v>
      </c>
    </row>
    <row r="21" spans="1:4" x14ac:dyDescent="0.25">
      <c r="A21" t="s">
        <v>19</v>
      </c>
      <c r="B21" t="s">
        <v>140</v>
      </c>
      <c r="C21" t="s">
        <v>220</v>
      </c>
      <c r="D21" t="s">
        <v>221</v>
      </c>
    </row>
    <row r="22" spans="1:4" x14ac:dyDescent="0.25">
      <c r="A22" t="s">
        <v>20</v>
      </c>
      <c r="B22" t="s">
        <v>140</v>
      </c>
      <c r="C22" t="s">
        <v>222</v>
      </c>
      <c r="D22" t="s">
        <v>161</v>
      </c>
    </row>
    <row r="23" spans="1:4" x14ac:dyDescent="0.25">
      <c r="A23" t="s">
        <v>21</v>
      </c>
      <c r="B23" t="s">
        <v>140</v>
      </c>
      <c r="C23" t="s">
        <v>223</v>
      </c>
      <c r="D23" t="s">
        <v>224</v>
      </c>
    </row>
    <row r="24" spans="1:4" x14ac:dyDescent="0.25">
      <c r="A24" t="s">
        <v>144</v>
      </c>
      <c r="B24" t="s">
        <v>140</v>
      </c>
      <c r="C24" t="s">
        <v>225</v>
      </c>
      <c r="D24" t="s">
        <v>162</v>
      </c>
    </row>
    <row r="25" spans="1:4" x14ac:dyDescent="0.25">
      <c r="A25" t="s">
        <v>22</v>
      </c>
      <c r="B25" t="s">
        <v>140</v>
      </c>
      <c r="C25" t="s">
        <v>226</v>
      </c>
      <c r="D25" t="s">
        <v>163</v>
      </c>
    </row>
    <row r="26" spans="1:4" x14ac:dyDescent="0.25">
      <c r="A26" s="28" t="s">
        <v>23</v>
      </c>
      <c r="B26" s="28" t="s">
        <v>140</v>
      </c>
      <c r="C26" s="28" t="s">
        <v>227</v>
      </c>
      <c r="D26" s="28" t="s">
        <v>164</v>
      </c>
    </row>
    <row r="27" spans="1:4" x14ac:dyDescent="0.25">
      <c r="A27" s="28" t="s">
        <v>275</v>
      </c>
      <c r="B27" s="28" t="s">
        <v>140</v>
      </c>
      <c r="C27" s="28" t="s">
        <v>227</v>
      </c>
      <c r="D27" s="28"/>
    </row>
    <row r="28" spans="1:4" x14ac:dyDescent="0.25">
      <c r="A28" t="s">
        <v>24</v>
      </c>
      <c r="B28" t="s">
        <v>140</v>
      </c>
      <c r="C28" t="s">
        <v>228</v>
      </c>
      <c r="D28" t="s">
        <v>165</v>
      </c>
    </row>
    <row r="29" spans="1:4" x14ac:dyDescent="0.25">
      <c r="A29" t="s">
        <v>25</v>
      </c>
      <c r="B29" t="s">
        <v>140</v>
      </c>
      <c r="C29" t="s">
        <v>229</v>
      </c>
      <c r="D29" t="s">
        <v>166</v>
      </c>
    </row>
    <row r="30" spans="1:4" x14ac:dyDescent="0.25">
      <c r="A30" t="s">
        <v>26</v>
      </c>
      <c r="B30" t="s">
        <v>140</v>
      </c>
      <c r="C30" t="s">
        <v>230</v>
      </c>
      <c r="D30" t="s">
        <v>231</v>
      </c>
    </row>
    <row r="31" spans="1:4" x14ac:dyDescent="0.25">
      <c r="A31" t="s">
        <v>27</v>
      </c>
      <c r="B31" t="s">
        <v>140</v>
      </c>
      <c r="C31" t="s">
        <v>232</v>
      </c>
      <c r="D31" t="s">
        <v>167</v>
      </c>
    </row>
    <row r="32" spans="1:4" x14ac:dyDescent="0.25">
      <c r="A32" t="s">
        <v>28</v>
      </c>
      <c r="B32" t="s">
        <v>140</v>
      </c>
      <c r="C32" t="s">
        <v>233</v>
      </c>
      <c r="D32" t="s">
        <v>168</v>
      </c>
    </row>
    <row r="33" spans="1:4" x14ac:dyDescent="0.25">
      <c r="A33" t="s">
        <v>29</v>
      </c>
      <c r="B33" t="s">
        <v>140</v>
      </c>
      <c r="C33" t="s">
        <v>234</v>
      </c>
      <c r="D33" t="s">
        <v>169</v>
      </c>
    </row>
    <row r="34" spans="1:4" x14ac:dyDescent="0.25">
      <c r="A34" t="s">
        <v>30</v>
      </c>
      <c r="B34" t="s">
        <v>140</v>
      </c>
      <c r="C34" t="s">
        <v>235</v>
      </c>
      <c r="D34" t="s">
        <v>170</v>
      </c>
    </row>
    <row r="35" spans="1:4" x14ac:dyDescent="0.25">
      <c r="A35" t="s">
        <v>31</v>
      </c>
      <c r="B35" t="s">
        <v>140</v>
      </c>
      <c r="C35" t="s">
        <v>236</v>
      </c>
      <c r="D35" t="s">
        <v>237</v>
      </c>
    </row>
    <row r="36" spans="1:4" x14ac:dyDescent="0.25">
      <c r="A36" t="s">
        <v>32</v>
      </c>
      <c r="B36" t="s">
        <v>140</v>
      </c>
      <c r="C36" t="s">
        <v>238</v>
      </c>
      <c r="D36" t="s">
        <v>171</v>
      </c>
    </row>
    <row r="37" spans="1:4" x14ac:dyDescent="0.25">
      <c r="A37" t="s">
        <v>33</v>
      </c>
      <c r="B37" t="s">
        <v>140</v>
      </c>
      <c r="C37" t="s">
        <v>239</v>
      </c>
      <c r="D37" t="s">
        <v>172</v>
      </c>
    </row>
    <row r="38" spans="1:4" x14ac:dyDescent="0.25">
      <c r="A38" t="s">
        <v>34</v>
      </c>
      <c r="B38" t="s">
        <v>140</v>
      </c>
      <c r="C38" t="s">
        <v>240</v>
      </c>
      <c r="D38" t="s">
        <v>241</v>
      </c>
    </row>
    <row r="39" spans="1:4" x14ac:dyDescent="0.25">
      <c r="A39" t="s">
        <v>35</v>
      </c>
      <c r="B39" t="s">
        <v>140</v>
      </c>
      <c r="C39" t="s">
        <v>242</v>
      </c>
      <c r="D39" t="s">
        <v>243</v>
      </c>
    </row>
    <row r="40" spans="1:4" x14ac:dyDescent="0.25">
      <c r="A40" t="s">
        <v>36</v>
      </c>
      <c r="B40" t="s">
        <v>140</v>
      </c>
      <c r="C40" t="s">
        <v>244</v>
      </c>
      <c r="D40" t="s">
        <v>173</v>
      </c>
    </row>
    <row r="41" spans="1:4" x14ac:dyDescent="0.25">
      <c r="A41" t="s">
        <v>37</v>
      </c>
      <c r="B41" t="s">
        <v>140</v>
      </c>
      <c r="C41" t="s">
        <v>245</v>
      </c>
      <c r="D41" t="s">
        <v>174</v>
      </c>
    </row>
    <row r="42" spans="1:4" x14ac:dyDescent="0.25">
      <c r="A42" t="s">
        <v>38</v>
      </c>
      <c r="B42" t="s">
        <v>140</v>
      </c>
      <c r="C42" t="s">
        <v>246</v>
      </c>
      <c r="D42" t="s">
        <v>175</v>
      </c>
    </row>
    <row r="43" spans="1:4" x14ac:dyDescent="0.25">
      <c r="A43" t="s">
        <v>39</v>
      </c>
      <c r="B43" t="s">
        <v>140</v>
      </c>
      <c r="C43" t="s">
        <v>247</v>
      </c>
      <c r="D43" t="s">
        <v>176</v>
      </c>
    </row>
    <row r="44" spans="1:4" x14ac:dyDescent="0.25">
      <c r="A44" t="s">
        <v>40</v>
      </c>
      <c r="B44" t="s">
        <v>140</v>
      </c>
      <c r="C44" t="s">
        <v>248</v>
      </c>
      <c r="D44" t="s">
        <v>177</v>
      </c>
    </row>
    <row r="45" spans="1:4" x14ac:dyDescent="0.25">
      <c r="A45" t="s">
        <v>41</v>
      </c>
      <c r="B45" t="s">
        <v>140</v>
      </c>
      <c r="C45" t="s">
        <v>249</v>
      </c>
      <c r="D45" t="s">
        <v>178</v>
      </c>
    </row>
    <row r="46" spans="1:4" x14ac:dyDescent="0.25">
      <c r="A46" s="6" t="s">
        <v>42</v>
      </c>
      <c r="B46" t="s">
        <v>142</v>
      </c>
      <c r="C46" t="s">
        <v>250</v>
      </c>
      <c r="D46" t="s">
        <v>179</v>
      </c>
    </row>
    <row r="47" spans="1:4" x14ac:dyDescent="0.25">
      <c r="A47" s="37" t="s">
        <v>43</v>
      </c>
      <c r="B47" t="s">
        <v>141</v>
      </c>
      <c r="C47" t="s">
        <v>251</v>
      </c>
      <c r="D47" t="s">
        <v>180</v>
      </c>
    </row>
    <row r="48" spans="1:4" x14ac:dyDescent="0.25">
      <c r="A48" s="37" t="s">
        <v>44</v>
      </c>
      <c r="B48" t="s">
        <v>141</v>
      </c>
      <c r="C48" t="s">
        <v>252</v>
      </c>
      <c r="D48" t="s">
        <v>181</v>
      </c>
    </row>
    <row r="49" spans="1:4" x14ac:dyDescent="0.25">
      <c r="A49" t="s">
        <v>45</v>
      </c>
      <c r="B49" t="s">
        <v>140</v>
      </c>
      <c r="C49" t="s">
        <v>253</v>
      </c>
      <c r="D49" t="s">
        <v>182</v>
      </c>
    </row>
    <row r="50" spans="1:4" x14ac:dyDescent="0.25">
      <c r="A50" s="6" t="s">
        <v>46</v>
      </c>
      <c r="B50" t="s">
        <v>142</v>
      </c>
      <c r="C50" t="s">
        <v>254</v>
      </c>
      <c r="D50" t="s">
        <v>183</v>
      </c>
    </row>
    <row r="51" spans="1:4" x14ac:dyDescent="0.25">
      <c r="A51" t="s">
        <v>47</v>
      </c>
      <c r="B51" t="s">
        <v>140</v>
      </c>
      <c r="C51" t="s">
        <v>255</v>
      </c>
      <c r="D51" t="s">
        <v>184</v>
      </c>
    </row>
    <row r="52" spans="1:4" x14ac:dyDescent="0.25">
      <c r="A52" t="s">
        <v>48</v>
      </c>
      <c r="B52" t="s">
        <v>140</v>
      </c>
      <c r="C52" t="s">
        <v>256</v>
      </c>
      <c r="D52" t="s">
        <v>185</v>
      </c>
    </row>
    <row r="53" spans="1:4" x14ac:dyDescent="0.25">
      <c r="A53" t="s">
        <v>49</v>
      </c>
      <c r="B53" t="s">
        <v>140</v>
      </c>
      <c r="C53" t="s">
        <v>257</v>
      </c>
      <c r="D53" t="s">
        <v>186</v>
      </c>
    </row>
    <row r="54" spans="1:4" x14ac:dyDescent="0.25">
      <c r="A54" t="s">
        <v>50</v>
      </c>
      <c r="B54" t="s">
        <v>140</v>
      </c>
      <c r="C54" t="s">
        <v>258</v>
      </c>
      <c r="D54" t="s">
        <v>187</v>
      </c>
    </row>
    <row r="55" spans="1:4" x14ac:dyDescent="0.25">
      <c r="A55" t="s">
        <v>51</v>
      </c>
      <c r="B55" t="s">
        <v>140</v>
      </c>
      <c r="C55" t="s">
        <v>259</v>
      </c>
      <c r="D55" t="s">
        <v>188</v>
      </c>
    </row>
    <row r="56" spans="1:4" x14ac:dyDescent="0.25">
      <c r="A56" t="s">
        <v>52</v>
      </c>
      <c r="B56" t="s">
        <v>140</v>
      </c>
      <c r="C56" t="s">
        <v>260</v>
      </c>
      <c r="D56" t="s">
        <v>189</v>
      </c>
    </row>
    <row r="57" spans="1:4" x14ac:dyDescent="0.25">
      <c r="A57" t="s">
        <v>53</v>
      </c>
      <c r="B57" t="s">
        <v>140</v>
      </c>
      <c r="C57" t="s">
        <v>261</v>
      </c>
      <c r="D57" t="s">
        <v>190</v>
      </c>
    </row>
    <row r="58" spans="1:4" x14ac:dyDescent="0.25">
      <c r="A58" t="s">
        <v>54</v>
      </c>
      <c r="B58" t="s">
        <v>140</v>
      </c>
      <c r="C58" t="s">
        <v>262</v>
      </c>
      <c r="D58" t="s">
        <v>191</v>
      </c>
    </row>
    <row r="59" spans="1:4" x14ac:dyDescent="0.25">
      <c r="A59" t="s">
        <v>55</v>
      </c>
      <c r="B59" t="s">
        <v>140</v>
      </c>
      <c r="C59" t="s">
        <v>263</v>
      </c>
      <c r="D59" t="s">
        <v>192</v>
      </c>
    </row>
    <row r="60" spans="1:4" x14ac:dyDescent="0.25">
      <c r="A60" t="s">
        <v>56</v>
      </c>
      <c r="B60" t="s">
        <v>140</v>
      </c>
      <c r="C60" t="s">
        <v>264</v>
      </c>
      <c r="D60" t="s">
        <v>193</v>
      </c>
    </row>
    <row r="61" spans="1:4" x14ac:dyDescent="0.25">
      <c r="A61" t="s">
        <v>57</v>
      </c>
      <c r="B61" t="s">
        <v>140</v>
      </c>
      <c r="C61" t="s">
        <v>265</v>
      </c>
      <c r="D61" t="s">
        <v>266</v>
      </c>
    </row>
    <row r="62" spans="1:4" x14ac:dyDescent="0.25">
      <c r="A62" s="6" t="s">
        <v>58</v>
      </c>
      <c r="B62" t="s">
        <v>142</v>
      </c>
      <c r="C62" t="s">
        <v>267</v>
      </c>
      <c r="D62" t="s">
        <v>194</v>
      </c>
    </row>
    <row r="63" spans="1:4" x14ac:dyDescent="0.25">
      <c r="A63" s="6" t="s">
        <v>59</v>
      </c>
      <c r="B63" t="s">
        <v>142</v>
      </c>
      <c r="C63" t="s">
        <v>268</v>
      </c>
      <c r="D63" t="s">
        <v>195</v>
      </c>
    </row>
    <row r="64" spans="1:4" x14ac:dyDescent="0.25">
      <c r="C64" s="5"/>
      <c r="D64" s="5"/>
    </row>
    <row r="65" spans="3:4" x14ac:dyDescent="0.25">
      <c r="C65" s="5"/>
      <c r="D65" s="5"/>
    </row>
    <row r="66" spans="3:4" x14ac:dyDescent="0.25">
      <c r="C66" s="5"/>
      <c r="D66" s="5"/>
    </row>
    <row r="67" spans="3:4" x14ac:dyDescent="0.25">
      <c r="C67" s="5"/>
      <c r="D67" s="5"/>
    </row>
    <row r="68" spans="3:4" x14ac:dyDescent="0.25">
      <c r="C68" s="5"/>
      <c r="D68" s="5"/>
    </row>
    <row r="69" spans="3:4" x14ac:dyDescent="0.25">
      <c r="C69" s="5"/>
      <c r="D69" s="5"/>
    </row>
    <row r="70" spans="3:4" x14ac:dyDescent="0.25">
      <c r="C70" s="5"/>
      <c r="D70" s="5"/>
    </row>
    <row r="71" spans="3:4" x14ac:dyDescent="0.25">
      <c r="C71" s="5"/>
      <c r="D71" s="5"/>
    </row>
    <row r="72" spans="3:4" x14ac:dyDescent="0.25">
      <c r="C72" s="5"/>
      <c r="D72" s="5"/>
    </row>
    <row r="73" spans="3:4" x14ac:dyDescent="0.25">
      <c r="C73" s="5"/>
      <c r="D73" s="5"/>
    </row>
    <row r="74" spans="3:4" x14ac:dyDescent="0.25">
      <c r="C74" s="5"/>
      <c r="D74" s="5"/>
    </row>
    <row r="75" spans="3:4" x14ac:dyDescent="0.25">
      <c r="C75" s="5"/>
      <c r="D75" s="5"/>
    </row>
    <row r="76" spans="3:4" x14ac:dyDescent="0.25">
      <c r="C76" s="5"/>
      <c r="D76" s="5"/>
    </row>
    <row r="77" spans="3:4" x14ac:dyDescent="0.25">
      <c r="C77" s="5"/>
      <c r="D77" s="5"/>
    </row>
    <row r="78" spans="3:4" x14ac:dyDescent="0.25">
      <c r="C78" s="5"/>
      <c r="D78" s="5"/>
    </row>
    <row r="79" spans="3:4" x14ac:dyDescent="0.25">
      <c r="C79" s="5"/>
      <c r="D79" s="5"/>
    </row>
    <row r="80" spans="3:4" x14ac:dyDescent="0.25">
      <c r="C80" s="5"/>
      <c r="D80" s="5"/>
    </row>
    <row r="81" spans="3:4" x14ac:dyDescent="0.25">
      <c r="C81" s="5"/>
      <c r="D81" s="5"/>
    </row>
    <row r="82" spans="3:4" x14ac:dyDescent="0.25">
      <c r="C82" s="5"/>
      <c r="D82" s="5"/>
    </row>
    <row r="83" spans="3:4" x14ac:dyDescent="0.25">
      <c r="C83" s="5"/>
      <c r="D83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65E926E0F19E45B8B0BEE7F65F6329" ma:contentTypeVersion="18" ma:contentTypeDescription="Create a new document." ma:contentTypeScope="" ma:versionID="62c8e7457028f35bf658acd3b98f1342">
  <xsd:schema xmlns:xsd="http://www.w3.org/2001/XMLSchema" xmlns:xs="http://www.w3.org/2001/XMLSchema" xmlns:p="http://schemas.microsoft.com/office/2006/metadata/properties" xmlns:ns2="5b070055-830e-4bbe-99e5-ef4a32594c9e" xmlns:ns3="59fa1697-1fcf-4140-a4b2-4d4b85dab95b" targetNamespace="http://schemas.microsoft.com/office/2006/metadata/properties" ma:root="true" ma:fieldsID="e0642a250f62b123e36002ff2c8a0471" ns2:_="" ns3:_="">
    <xsd:import namespace="5b070055-830e-4bbe-99e5-ef4a32594c9e"/>
    <xsd:import namespace="59fa1697-1fcf-4140-a4b2-4d4b85dab9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070055-830e-4bbe-99e5-ef4a32594c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bea7aa4-7110-4800-a1f6-1fb0fd95d5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fa1697-1fcf-4140-a4b2-4d4b85dab95b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5941ff5-1610-41a5-881f-97ba028e02cc}" ma:internalName="TaxCatchAll" ma:showField="CatchAllData" ma:web="59fa1697-1fcf-4140-a4b2-4d4b85dab9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B22FD6-777A-461C-A278-CA7A7BC48A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C62C70-3E1E-4CA2-92BA-40648A5E48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070055-830e-4bbe-99e5-ef4a32594c9e"/>
    <ds:schemaRef ds:uri="59fa1697-1fcf-4140-a4b2-4d4b85dab9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Surveys</vt:lpstr>
      <vt:lpstr>Species_Codes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Moffatt</dc:creator>
  <cp:lastModifiedBy>Adam Shand</cp:lastModifiedBy>
  <dcterms:created xsi:type="dcterms:W3CDTF">2024-03-25T02:12:35Z</dcterms:created>
  <dcterms:modified xsi:type="dcterms:W3CDTF">2026-02-12T05:42:50Z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